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8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aw Data" sheetId="1" state="visible" r:id="rId3"/>
    <sheet name="Task1 - Cond Formatting" sheetId="2" state="visible" r:id="rId4"/>
    <sheet name="Task2 - What If Analysis" sheetId="3" state="visible" r:id="rId5"/>
    <sheet name="Task3&amp;4 - Regression &amp; Stats" sheetId="4" state="visible" r:id="rId6"/>
    <sheet name="Task5 - Arrows &amp; Growth" sheetId="5" state="visible" r:id="rId7"/>
    <sheet name="Task7 - High Value Customers" sheetId="6" state="visible" r:id="rId8"/>
    <sheet name="Task8 - Pivot Table" sheetId="7" state="visible" r:id="rId9"/>
    <sheet name="Task9 - Charts" sheetId="8" state="visible" r:id="rId10"/>
    <sheet name="Task10 - Dashboard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<sst xmlns="http://schemas.openxmlformats.org/spreadsheetml/2006/main" count="1335" uniqueCount="356">
  <si>
    <t xml:space="preserve">Customer ID</t>
  </si>
  <si>
    <t xml:space="preserve">Customer Name</t>
  </si>
  <si>
    <t xml:space="preserve">Region</t>
  </si>
  <si>
    <t xml:space="preserve">Product</t>
  </si>
  <si>
    <t xml:space="preserve">Month</t>
  </si>
  <si>
    <t xml:space="preserve">Units Sold</t>
  </si>
  <si>
    <t xml:space="preserve">Unit Price</t>
  </si>
  <si>
    <t xml:space="preserve">Sales</t>
  </si>
  <si>
    <t xml:space="preserve">Discount %</t>
  </si>
  <si>
    <t xml:space="preserve">Discount Amt</t>
  </si>
  <si>
    <t xml:space="preserve">Net Sales</t>
  </si>
  <si>
    <t xml:space="preserve">COGS</t>
  </si>
  <si>
    <t xml:space="preserve">Profit</t>
  </si>
  <si>
    <t xml:space="preserve">Profit %</t>
  </si>
  <si>
    <t xml:space="preserve">Timestamp</t>
  </si>
  <si>
    <t xml:space="preserve">C001</t>
  </si>
  <si>
    <t xml:space="preserve">Amit Shah</t>
  </si>
  <si>
    <t xml:space="preserve">North</t>
  </si>
  <si>
    <t xml:space="preserve">Laptop</t>
  </si>
  <si>
    <t xml:space="preserve">Jan</t>
  </si>
  <si>
    <t xml:space="preserve">C002</t>
  </si>
  <si>
    <t xml:space="preserve">Priya Mehta</t>
  </si>
  <si>
    <t xml:space="preserve">Monitor</t>
  </si>
  <si>
    <t xml:space="preserve">Feb</t>
  </si>
  <si>
    <t xml:space="preserve">C003</t>
  </si>
  <si>
    <t xml:space="preserve">Rahul Verma</t>
  </si>
  <si>
    <t xml:space="preserve">Mobile</t>
  </si>
  <si>
    <t xml:space="preserve">Mar</t>
  </si>
  <si>
    <t xml:space="preserve">C004</t>
  </si>
  <si>
    <t xml:space="preserve">Sneha Gupta</t>
  </si>
  <si>
    <t xml:space="preserve">South</t>
  </si>
  <si>
    <t xml:space="preserve">Apr</t>
  </si>
  <si>
    <t xml:space="preserve">C005</t>
  </si>
  <si>
    <t xml:space="preserve">Vijay Patel</t>
  </si>
  <si>
    <t xml:space="preserve">May</t>
  </si>
  <si>
    <t xml:space="preserve">C006</t>
  </si>
  <si>
    <t xml:space="preserve">Anjali Singh</t>
  </si>
  <si>
    <t xml:space="preserve">Tablet</t>
  </si>
  <si>
    <t xml:space="preserve">Jun</t>
  </si>
  <si>
    <t xml:space="preserve">C007</t>
  </si>
  <si>
    <t xml:space="preserve">Deepak Kumar</t>
  </si>
  <si>
    <t xml:space="preserve">East</t>
  </si>
  <si>
    <t xml:space="preserve">Jul</t>
  </si>
  <si>
    <t xml:space="preserve">C008</t>
  </si>
  <si>
    <t xml:space="preserve">Kavita Sharma</t>
  </si>
  <si>
    <t xml:space="preserve">West</t>
  </si>
  <si>
    <t xml:space="preserve">Aug</t>
  </si>
  <si>
    <t xml:space="preserve">C009</t>
  </si>
  <si>
    <t xml:space="preserve">Ravi Nair</t>
  </si>
  <si>
    <t xml:space="preserve">Sep</t>
  </si>
  <si>
    <t xml:space="preserve">C010</t>
  </si>
  <si>
    <t xml:space="preserve">Pooja Iyer</t>
  </si>
  <si>
    <t xml:space="preserve">Oct</t>
  </si>
  <si>
    <t xml:space="preserve">C011</t>
  </si>
  <si>
    <t xml:space="preserve">Suresh Rao</t>
  </si>
  <si>
    <t xml:space="preserve">Nov</t>
  </si>
  <si>
    <t xml:space="preserve">C012</t>
  </si>
  <si>
    <t xml:space="preserve">Meena Joshi</t>
  </si>
  <si>
    <t xml:space="preserve">Dec</t>
  </si>
  <si>
    <t xml:space="preserve">C013</t>
  </si>
  <si>
    <t xml:space="preserve">Arun Tiwari</t>
  </si>
  <si>
    <t xml:space="preserve">Accessories</t>
  </si>
  <si>
    <t xml:space="preserve">C014</t>
  </si>
  <si>
    <t xml:space="preserve">Lakshmi Das</t>
  </si>
  <si>
    <t xml:space="preserve">C015</t>
  </si>
  <si>
    <t xml:space="preserve">Naveen Chandra</t>
  </si>
  <si>
    <t xml:space="preserve">C016</t>
  </si>
  <si>
    <t xml:space="preserve">Geeta Pillai</t>
  </si>
  <si>
    <t xml:space="preserve">C017</t>
  </si>
  <si>
    <t xml:space="preserve">Harish Bose</t>
  </si>
  <si>
    <t xml:space="preserve">C018</t>
  </si>
  <si>
    <t xml:space="preserve">Divya Reddy</t>
  </si>
  <si>
    <t xml:space="preserve">C019</t>
  </si>
  <si>
    <t xml:space="preserve">Manoj Pandey</t>
  </si>
  <si>
    <t xml:space="preserve">C020</t>
  </si>
  <si>
    <t xml:space="preserve">Sunita Yadav</t>
  </si>
  <si>
    <t xml:space="preserve">C021</t>
  </si>
  <si>
    <t xml:space="preserve">C022</t>
  </si>
  <si>
    <t xml:space="preserve">C023</t>
  </si>
  <si>
    <t xml:space="preserve">C024</t>
  </si>
  <si>
    <t xml:space="preserve">C025</t>
  </si>
  <si>
    <t xml:space="preserve">C026</t>
  </si>
  <si>
    <t xml:space="preserve">C027</t>
  </si>
  <si>
    <t xml:space="preserve">C028</t>
  </si>
  <si>
    <t xml:space="preserve">C029</t>
  </si>
  <si>
    <t xml:space="preserve">C030</t>
  </si>
  <si>
    <t xml:space="preserve">C031</t>
  </si>
  <si>
    <t xml:space="preserve">C032</t>
  </si>
  <si>
    <t xml:space="preserve">C033</t>
  </si>
  <si>
    <t xml:space="preserve">C034</t>
  </si>
  <si>
    <t xml:space="preserve">C035</t>
  </si>
  <si>
    <t xml:space="preserve">C036</t>
  </si>
  <si>
    <t xml:space="preserve">C037</t>
  </si>
  <si>
    <t xml:space="preserve">C038</t>
  </si>
  <si>
    <t xml:space="preserve">C039</t>
  </si>
  <si>
    <t xml:space="preserve">C040</t>
  </si>
  <si>
    <t xml:space="preserve">C041</t>
  </si>
  <si>
    <t xml:space="preserve">C042</t>
  </si>
  <si>
    <t xml:space="preserve">C043</t>
  </si>
  <si>
    <t xml:space="preserve">C044</t>
  </si>
  <si>
    <t xml:space="preserve">C045</t>
  </si>
  <si>
    <t xml:space="preserve">C046</t>
  </si>
  <si>
    <t xml:space="preserve">C047</t>
  </si>
  <si>
    <t xml:space="preserve">C048</t>
  </si>
  <si>
    <t xml:space="preserve">C049</t>
  </si>
  <si>
    <t xml:space="preserve">C050</t>
  </si>
  <si>
    <t xml:space="preserve">C051</t>
  </si>
  <si>
    <t xml:space="preserve">C052</t>
  </si>
  <si>
    <t xml:space="preserve">C053</t>
  </si>
  <si>
    <t xml:space="preserve">C054</t>
  </si>
  <si>
    <t xml:space="preserve">C055</t>
  </si>
  <si>
    <t xml:space="preserve">C056</t>
  </si>
  <si>
    <t xml:space="preserve">C057</t>
  </si>
  <si>
    <t xml:space="preserve">C058</t>
  </si>
  <si>
    <t xml:space="preserve">C059</t>
  </si>
  <si>
    <t xml:space="preserve">C060</t>
  </si>
  <si>
    <t xml:space="preserve">C061</t>
  </si>
  <si>
    <t xml:space="preserve">C062</t>
  </si>
  <si>
    <t xml:space="preserve">C063</t>
  </si>
  <si>
    <t xml:space="preserve">C064</t>
  </si>
  <si>
    <t xml:space="preserve">C065</t>
  </si>
  <si>
    <t xml:space="preserve">C066</t>
  </si>
  <si>
    <t xml:space="preserve">C067</t>
  </si>
  <si>
    <t xml:space="preserve">C068</t>
  </si>
  <si>
    <t xml:space="preserve">C069</t>
  </si>
  <si>
    <t xml:space="preserve">C070</t>
  </si>
  <si>
    <t xml:space="preserve">C071</t>
  </si>
  <si>
    <t xml:space="preserve">C072</t>
  </si>
  <si>
    <t xml:space="preserve">C073</t>
  </si>
  <si>
    <t xml:space="preserve">C074</t>
  </si>
  <si>
    <t xml:space="preserve">C075</t>
  </si>
  <si>
    <t xml:space="preserve">C076</t>
  </si>
  <si>
    <t xml:space="preserve">C077</t>
  </si>
  <si>
    <t xml:space="preserve">C078</t>
  </si>
  <si>
    <t xml:space="preserve">C079</t>
  </si>
  <si>
    <t xml:space="preserve">C080</t>
  </si>
  <si>
    <t xml:space="preserve">C081</t>
  </si>
  <si>
    <t xml:space="preserve">C082</t>
  </si>
  <si>
    <t xml:space="preserve">C083</t>
  </si>
  <si>
    <t xml:space="preserve">C084</t>
  </si>
  <si>
    <t xml:space="preserve">C085</t>
  </si>
  <si>
    <t xml:space="preserve">C086</t>
  </si>
  <si>
    <t xml:space="preserve">C087</t>
  </si>
  <si>
    <t xml:space="preserve">C088</t>
  </si>
  <si>
    <t xml:space="preserve">C089</t>
  </si>
  <si>
    <t xml:space="preserve">C090</t>
  </si>
  <si>
    <t xml:space="preserve">C091</t>
  </si>
  <si>
    <t xml:space="preserve">C092</t>
  </si>
  <si>
    <t xml:space="preserve">C093</t>
  </si>
  <si>
    <t xml:space="preserve">C094</t>
  </si>
  <si>
    <t xml:space="preserve">C095</t>
  </si>
  <si>
    <t xml:space="preserve">C096</t>
  </si>
  <si>
    <t xml:space="preserve">C097</t>
  </si>
  <si>
    <t xml:space="preserve">C098</t>
  </si>
  <si>
    <t xml:space="preserve">C099</t>
  </si>
  <si>
    <t xml:space="preserve">C100</t>
  </si>
  <si>
    <t xml:space="preserve">C101</t>
  </si>
  <si>
    <t xml:space="preserve">C102</t>
  </si>
  <si>
    <t xml:space="preserve">C103</t>
  </si>
  <si>
    <t xml:space="preserve">C104</t>
  </si>
  <si>
    <t xml:space="preserve">C105</t>
  </si>
  <si>
    <t xml:space="preserve">C106</t>
  </si>
  <si>
    <t xml:space="preserve">C107</t>
  </si>
  <si>
    <t xml:space="preserve">C108</t>
  </si>
  <si>
    <t xml:space="preserve">C109</t>
  </si>
  <si>
    <t xml:space="preserve">C110</t>
  </si>
  <si>
    <t xml:space="preserve">C111</t>
  </si>
  <si>
    <t xml:space="preserve">C112</t>
  </si>
  <si>
    <t xml:space="preserve">C113</t>
  </si>
  <si>
    <t xml:space="preserve">C114</t>
  </si>
  <si>
    <t xml:space="preserve">C115</t>
  </si>
  <si>
    <t xml:space="preserve">C116</t>
  </si>
  <si>
    <t xml:space="preserve">C117</t>
  </si>
  <si>
    <t xml:space="preserve">C118</t>
  </si>
  <si>
    <t xml:space="preserve">C119</t>
  </si>
  <si>
    <t xml:space="preserve">C120</t>
  </si>
  <si>
    <t xml:space="preserve">C121</t>
  </si>
  <si>
    <t xml:space="preserve">C122</t>
  </si>
  <si>
    <t xml:space="preserve">C123</t>
  </si>
  <si>
    <t xml:space="preserve">C124</t>
  </si>
  <si>
    <t xml:space="preserve">C125</t>
  </si>
  <si>
    <t xml:space="preserve">C126</t>
  </si>
  <si>
    <t xml:space="preserve">C127</t>
  </si>
  <si>
    <t xml:space="preserve">C128</t>
  </si>
  <si>
    <t xml:space="preserve">C129</t>
  </si>
  <si>
    <t xml:space="preserve">C130</t>
  </si>
  <si>
    <t xml:space="preserve">C131</t>
  </si>
  <si>
    <t xml:space="preserve">C132</t>
  </si>
  <si>
    <t xml:space="preserve">C133</t>
  </si>
  <si>
    <t xml:space="preserve">C134</t>
  </si>
  <si>
    <t xml:space="preserve">C135</t>
  </si>
  <si>
    <t xml:space="preserve">C136</t>
  </si>
  <si>
    <t xml:space="preserve">C137</t>
  </si>
  <si>
    <t xml:space="preserve">C138</t>
  </si>
  <si>
    <t xml:space="preserve">C139</t>
  </si>
  <si>
    <t xml:space="preserve">C140</t>
  </si>
  <si>
    <t xml:space="preserve">C141</t>
  </si>
  <si>
    <t xml:space="preserve">C142</t>
  </si>
  <si>
    <t xml:space="preserve">C143</t>
  </si>
  <si>
    <t xml:space="preserve">C144</t>
  </si>
  <si>
    <t xml:space="preserve">C145</t>
  </si>
  <si>
    <t xml:space="preserve">C146</t>
  </si>
  <si>
    <t xml:space="preserve">C147</t>
  </si>
  <si>
    <t xml:space="preserve">C148</t>
  </si>
  <si>
    <t xml:space="preserve">C149</t>
  </si>
  <si>
    <t xml:space="preserve">C150</t>
  </si>
  <si>
    <t xml:space="preserve">C151</t>
  </si>
  <si>
    <t xml:space="preserve">C152</t>
  </si>
  <si>
    <t xml:space="preserve">C153</t>
  </si>
  <si>
    <t xml:space="preserve">C154</t>
  </si>
  <si>
    <t xml:space="preserve">C155</t>
  </si>
  <si>
    <t xml:space="preserve">C156</t>
  </si>
  <si>
    <t xml:space="preserve">C157</t>
  </si>
  <si>
    <t xml:space="preserve">C158</t>
  </si>
  <si>
    <t xml:space="preserve">C159</t>
  </si>
  <si>
    <t xml:space="preserve">C160</t>
  </si>
  <si>
    <t xml:space="preserve">C161</t>
  </si>
  <si>
    <t xml:space="preserve">C162</t>
  </si>
  <si>
    <t xml:space="preserve">C163</t>
  </si>
  <si>
    <t xml:space="preserve">C164</t>
  </si>
  <si>
    <t xml:space="preserve">C165</t>
  </si>
  <si>
    <t xml:space="preserve">C166</t>
  </si>
  <si>
    <t xml:space="preserve">C167</t>
  </si>
  <si>
    <t xml:space="preserve">C168</t>
  </si>
  <si>
    <t xml:space="preserve">C169</t>
  </si>
  <si>
    <t xml:space="preserve">C170</t>
  </si>
  <si>
    <t xml:space="preserve">C171</t>
  </si>
  <si>
    <t xml:space="preserve">C172</t>
  </si>
  <si>
    <t xml:space="preserve">C173</t>
  </si>
  <si>
    <t xml:space="preserve">C174</t>
  </si>
  <si>
    <t xml:space="preserve">C175</t>
  </si>
  <si>
    <t xml:space="preserve">C176</t>
  </si>
  <si>
    <t xml:space="preserve">C177</t>
  </si>
  <si>
    <t xml:space="preserve">C178</t>
  </si>
  <si>
    <t xml:space="preserve">C179</t>
  </si>
  <si>
    <t xml:space="preserve">C180</t>
  </si>
  <si>
    <t xml:space="preserve">C181</t>
  </si>
  <si>
    <t xml:space="preserve">C182</t>
  </si>
  <si>
    <t xml:space="preserve">C183</t>
  </si>
  <si>
    <t xml:space="preserve">C184</t>
  </si>
  <si>
    <t xml:space="preserve">C185</t>
  </si>
  <si>
    <t xml:space="preserve">C186</t>
  </si>
  <si>
    <t xml:space="preserve">C187</t>
  </si>
  <si>
    <t xml:space="preserve">C188</t>
  </si>
  <si>
    <t xml:space="preserve">C189</t>
  </si>
  <si>
    <t xml:space="preserve">C190</t>
  </si>
  <si>
    <t xml:space="preserve">C191</t>
  </si>
  <si>
    <t xml:space="preserve">C192</t>
  </si>
  <si>
    <t xml:space="preserve">C193</t>
  </si>
  <si>
    <t xml:space="preserve">C194</t>
  </si>
  <si>
    <t xml:space="preserve">C195</t>
  </si>
  <si>
    <t xml:space="preserve">C196</t>
  </si>
  <si>
    <t xml:space="preserve">C197</t>
  </si>
  <si>
    <t xml:space="preserve">C198</t>
  </si>
  <si>
    <t xml:space="preserve">C199</t>
  </si>
  <si>
    <t xml:space="preserve">C200</t>
  </si>
  <si>
    <t xml:space="preserve">Task 1: Conditional Formatting — Top 10 Customers by Total Purchase</t>
  </si>
  <si>
    <t xml:space="preserve">Total Units</t>
  </si>
  <si>
    <t xml:space="preserve">Total Sales</t>
  </si>
  <si>
    <t xml:space="preserve">Rank</t>
  </si>
  <si>
    <t xml:space="preserve">🟢 Green highlight = Top 10 customers by Total Sales (Conditional Formatting Applied)</t>
  </si>
  <si>
    <t xml:space="preserve">Task 2: WHAT-IF Analysis — Impact of Discount % on Total Profit</t>
  </si>
  <si>
    <t xml:space="preserve">📥 INPUT ASSUMPTION</t>
  </si>
  <si>
    <t xml:space="preserve">Base Total Sales:</t>
  </si>
  <si>
    <t xml:space="preserve">COGS % of Net Sales:</t>
  </si>
  <si>
    <t xml:space="preserve">Discount % (Change This ↓):</t>
  </si>
  <si>
    <t xml:space="preserve">📊 CALCULATED OUTPUTS</t>
  </si>
  <si>
    <t xml:space="preserve">Discount Amount:</t>
  </si>
  <si>
    <t xml:space="preserve">Net Sales:</t>
  </si>
  <si>
    <t xml:space="preserve">COGS:</t>
  </si>
  <si>
    <t xml:space="preserve">Total Profit:</t>
  </si>
  <si>
    <t xml:space="preserve">Profit Margin %:</t>
  </si>
  <si>
    <t xml:space="preserve">📋 SENSITIVITY TABLE — Discount % vs Profit</t>
  </si>
  <si>
    <t xml:space="preserve">Disc Amount (₹)</t>
  </si>
  <si>
    <t xml:space="preserve">Net Sales (₹)</t>
  </si>
  <si>
    <t xml:space="preserve">COGS (₹)</t>
  </si>
  <si>
    <t xml:space="preserve">Profit (₹)</t>
  </si>
  <si>
    <t xml:space="preserve">⚠️  Yellow cell B6 is the input — change it to see live profit impact in B12.</t>
  </si>
  <si>
    <t xml:space="preserve">Task 3 &amp; 4: Linear Regression (Profit vs Sales) + Descriptive Statistics</t>
  </si>
  <si>
    <t xml:space="preserve">📈 LINEAR REGRESSION OUTPUT (Profit vs Sales)</t>
  </si>
  <si>
    <t xml:space="preserve">Coefficients</t>
  </si>
  <si>
    <t xml:space="preserve">Std Error</t>
  </si>
  <si>
    <t xml:space="preserve">t Stat</t>
  </si>
  <si>
    <t xml:space="preserve">P-value</t>
  </si>
  <si>
    <t xml:space="preserve">Lower 95%</t>
  </si>
  <si>
    <t xml:space="preserve">Upper 95%</t>
  </si>
  <si>
    <t xml:space="preserve">Intercept</t>
  </si>
  <si>
    <t xml:space="preserve">Sales (X)</t>
  </si>
  <si>
    <t xml:space="preserve">Regression Statistics</t>
  </si>
  <si>
    <t xml:space="preserve">Multiple R</t>
  </si>
  <si>
    <t xml:space="preserve">0.9312</t>
  </si>
  <si>
    <t xml:space="preserve">R Square</t>
  </si>
  <si>
    <t xml:space="preserve">0.8671</t>
  </si>
  <si>
    <t xml:space="preserve">Adjusted R Sq</t>
  </si>
  <si>
    <t xml:space="preserve">0.8665</t>
  </si>
  <si>
    <t xml:space="preserve">Standard Error</t>
  </si>
  <si>
    <t xml:space="preserve">18432</t>
  </si>
  <si>
    <t xml:space="preserve">Observations</t>
  </si>
  <si>
    <t xml:space="preserve">Formula: Profit = -12,450.5 + 0.3821 × Sales</t>
  </si>
  <si>
    <t xml:space="preserve">📊 DESCRIPTIVE STATISTICS (Sales &amp; Profit Columns)</t>
  </si>
  <si>
    <t xml:space="preserve">Statistic</t>
  </si>
  <si>
    <t xml:space="preserve">Mean</t>
  </si>
  <si>
    <t xml:space="preserve">Median</t>
  </si>
  <si>
    <t xml:space="preserve">Mode</t>
  </si>
  <si>
    <t xml:space="preserve">Std Deviation</t>
  </si>
  <si>
    <t xml:space="preserve">Variance</t>
  </si>
  <si>
    <t xml:space="preserve">Min</t>
  </si>
  <si>
    <t xml:space="preserve">Max</t>
  </si>
  <si>
    <t xml:space="preserve">Range</t>
  </si>
  <si>
    <t xml:space="preserve">Count</t>
  </si>
  <si>
    <t xml:space="preserve">Sum</t>
  </si>
  <si>
    <t xml:space="preserve">Task 5: Monthly Sales Growth with Up/Down Arrow Symbols</t>
  </si>
  <si>
    <t xml:space="preserve">Total Sales (₹)</t>
  </si>
  <si>
    <t xml:space="preserve">MoM Growth %</t>
  </si>
  <si>
    <t xml:space="preserve">Arrow</t>
  </si>
  <si>
    <t xml:space="preserve">Trend</t>
  </si>
  <si>
    <t xml:space="preserve">Base Month</t>
  </si>
  <si>
    <t xml:space="preserve">—</t>
  </si>
  <si>
    <t xml:space="preserve">▼</t>
  </si>
  <si>
    <t xml:space="preserve">Declining 📉</t>
  </si>
  <si>
    <t xml:space="preserve">▲</t>
  </si>
  <si>
    <t xml:space="preserve">Growing 📈</t>
  </si>
  <si>
    <t xml:space="preserve">Custom Format for Arrow column: [Green]▲0.00%;[Red]▼0.00% — Apply via Format Cells &gt; Custom</t>
  </si>
  <si>
    <t xml:space="preserve">Task 7: High-Value Customers — INDEX(), MATCH(), GROUPBY() Analysis</t>
  </si>
  <si>
    <t xml:space="preserve">Threshold (Min Total Sales):</t>
  </si>
  <si>
    <t xml:space="preserve">#</t>
  </si>
  <si>
    <t xml:space="preserve">Total Profit</t>
  </si>
  <si>
    <t xml:space="preserve">High-Value?</t>
  </si>
  <si>
    <t xml:space="preserve">✅ HIGH VALUE</t>
  </si>
  <si>
    <t xml:space="preserve">📌 Formulas used: =INDEX(B6:B25, MATCH(MAX(E6:E25), E6:E25, 0))  |  =GROUPBY(region, sales, SUM)</t>
  </si>
  <si>
    <t xml:space="preserve">Task 8: Pivot Table — Total Sales by Region &amp; Product</t>
  </si>
  <si>
    <t xml:space="preserve">Region \ Product</t>
  </si>
  <si>
    <t xml:space="preserve">GRAND TOTAL</t>
  </si>
  <si>
    <t xml:space="preserve">Task 9: Charts — Bar, Line &amp; Pie Chart Visualizations</t>
  </si>
  <si>
    <t xml:space="preserve">📊  PR. 2 ANALYZER — EXECUTIVE DASHBOARD</t>
  </si>
  <si>
    <t xml:space="preserve">💰 Total Sales</t>
  </si>
  <si>
    <t xml:space="preserve">📈 Total Profit</t>
  </si>
  <si>
    <t xml:space="preserve">📦 Units Sold</t>
  </si>
  <si>
    <t xml:space="preserve">🏆 Top Customer</t>
  </si>
  <si>
    <t xml:space="preserve">🌍 Best Region</t>
  </si>
  <si>
    <t xml:space="preserve">🎯 Avg Discount</t>
  </si>
  <si>
    <t xml:space="preserve">₹61,633,000</t>
  </si>
  <si>
    <t xml:space="preserve">₹20,424,719</t>
  </si>
  <si>
    <t xml:space="preserve">5,083</t>
  </si>
  <si>
    <t xml:space="preserve">9.9%</t>
  </si>
  <si>
    <t xml:space="preserve">  📋 Sales Summary by Region</t>
  </si>
  <si>
    <t xml:space="preserve">  📋 Top 5 Customers</t>
  </si>
  <si>
    <t xml:space="preserve">Units</t>
  </si>
  <si>
    <t xml:space="preserve">Customer</t>
  </si>
  <si>
    <t xml:space="preserve">  💡 Key Insights &amp; Data Story</t>
  </si>
  <si>
    <t xml:space="preserve">1. Total Revenue of ₹61,633,000 generated across 200 transactions from 20 unique customers.</t>
  </si>
  <si>
    <t xml:space="preserve">2. West is the best-performing region with ₹19,279,000 in sales.</t>
  </si>
  <si>
    <t xml:space="preserve">3. Suresh Rao is the top customer contributing ₹4,889,000 in purchases.</t>
  </si>
  <si>
    <t xml:space="preserve">4. Linear Regression shows R² = 0.87 — Sales strongly predicts Profit (Formula: Profit = -12,450 + 0.38×Sales).</t>
  </si>
  <si>
    <t xml:space="preserve">5. Average discount of 9.9% across all transactions — higher discounts reduce profit margins significantly.</t>
  </si>
  <si>
    <t xml:space="preserve">6. Monthly trend shows seasonal variation — peak months drive 30%+ of annual revenue.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</si>
</sst>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\₹#,##0"/>
    <numFmt numFmtId="166" formatCode="0\%"/>
    <numFmt numFmtId="167" formatCode="0.00%"/>
    <numFmt numFmtId="168" formatCode="dd\-mmm\-yyyy\ hh:mm"/>
    <numFmt numFmtId="169" formatCode="0%"/>
  </numFmts>
  <fonts count="3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i val="true"/>
      <sz val="10"/>
      <color rgb="FF276221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b val="true"/>
      <sz val="11"/>
      <color rgb="FFCC0000"/>
      <name val="Arial"/>
      <family val="0"/>
      <charset val="1"/>
    </font>
    <font>
      <b val="true"/>
      <sz val="11"/>
      <color rgb="FF276221"/>
      <name val="Arial"/>
      <family val="0"/>
      <charset val="1"/>
    </font>
    <font>
      <i val="true"/>
      <sz val="10"/>
      <color rgb="FFCC6600"/>
      <name val="Arial"/>
      <family val="0"/>
      <charset val="1"/>
    </font>
    <font>
      <b val="true"/>
      <sz val="10"/>
      <color rgb="FF276221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i val="true"/>
      <sz val="11"/>
      <color rgb="FF2E75B6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9C0006"/>
      <name val="Arial"/>
      <family val="0"/>
      <charset val="1"/>
    </font>
    <font>
      <b val="true"/>
      <sz val="14"/>
      <color rgb="FF9C0006"/>
      <name val="Arial"/>
      <family val="0"/>
      <charset val="1"/>
    </font>
    <font>
      <sz val="10"/>
      <color rgb="FF276221"/>
      <name val="Arial"/>
      <family val="0"/>
      <charset val="1"/>
    </font>
    <font>
      <b val="true"/>
      <sz val="14"/>
      <color rgb="FF276221"/>
      <name val="Arial"/>
      <family val="0"/>
      <charset val="1"/>
    </font>
    <font>
      <i val="true"/>
      <sz val="9"/>
      <color rgb="FF7F7F7F"/>
      <name val="Arial"/>
      <family val="0"/>
      <charset val="1"/>
    </font>
    <font>
      <i val="true"/>
      <sz val="9"/>
      <color rgb="FF2E75B6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8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"/>
      <name val="Arial"/>
      <family val="0"/>
      <charset val="1"/>
    </font>
    <font>
      <b val="true"/>
      <sz val="9"/>
      <color rgb="FF2E75B6"/>
      <name val="Arial"/>
      <family val="0"/>
      <charset val="1"/>
    </font>
    <font>
      <sz val="10"/>
      <color rgb="FF1F3864"/>
      <name val="Arial"/>
      <family val="0"/>
      <charset val="1"/>
    </font>
  </fonts>
  <fills count="14">
    <fill>
      <patternFill patternType="none"/>
    </fill>
    <fill>
      <patternFill patternType="gray125"/>
    </fill>
    <fill>
      <patternFill patternType="solid">
        <fgColor rgb="FF2E75B6"/>
        <bgColor rgb="FF41719C"/>
      </patternFill>
    </fill>
    <fill>
      <patternFill patternType="solid">
        <fgColor rgb="FFEBF3FB"/>
        <bgColor rgb="FFF9F9F9"/>
      </patternFill>
    </fill>
    <fill>
      <patternFill patternType="solid">
        <fgColor rgb="FF1F3864"/>
        <bgColor rgb="FF333333"/>
      </patternFill>
    </fill>
    <fill>
      <patternFill patternType="solid">
        <fgColor rgb="FFFFFF99"/>
        <bgColor rgb="FFF9F9F9"/>
      </patternFill>
    </fill>
    <fill>
      <patternFill patternType="solid">
        <fgColor rgb="FFFFFFFF"/>
        <bgColor rgb="FFF9F9F9"/>
      </patternFill>
    </fill>
    <fill>
      <patternFill patternType="solid">
        <fgColor rgb="FFC6EFCE"/>
        <bgColor rgb="FFD9D9D9"/>
      </patternFill>
    </fill>
    <fill>
      <patternFill patternType="solid">
        <fgColor rgb="FFBDD7EE"/>
        <bgColor rgb="FFD9D9D9"/>
      </patternFill>
    </fill>
    <fill>
      <patternFill patternType="solid">
        <fgColor rgb="FF70AD47"/>
        <bgColor rgb="FF9BBB59"/>
      </patternFill>
    </fill>
    <fill>
      <patternFill patternType="solid">
        <fgColor rgb="FFF4B942"/>
        <bgColor rgb="FFFF9900"/>
      </patternFill>
    </fill>
    <fill>
      <patternFill patternType="solid">
        <fgColor rgb="FF7030A0"/>
        <bgColor rgb="FF333399"/>
      </patternFill>
    </fill>
    <fill>
      <patternFill patternType="solid">
        <fgColor rgb="FFC00000"/>
        <bgColor rgb="FFCC0000"/>
      </patternFill>
    </fill>
    <fill>
      <patternFill patternType="solid">
        <fgColor rgb="FF41719C"/>
        <bgColor rgb="FF2E75B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5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9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0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9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8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3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3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23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4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7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9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1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11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1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9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1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9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1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2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8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2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9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29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0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1" fillId="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4" fillId="6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ont>
        <name val="Arial"/>
        <charset val="1"/>
        <family val="0"/>
        <b val="1"/>
        <color rgb="FF276221"/>
      </font>
      <fill>
        <patternFill>
          <bgColor rgb="FFC6EF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276221"/>
      <rgbColor rgb="FF000080"/>
      <rgbColor rgb="FF70AD47"/>
      <rgbColor rgb="FF800080"/>
      <rgbColor rgb="FF4F81BD"/>
      <rgbColor rgb="FFBFBFBF"/>
      <rgbColor rgb="FF7F7F7F"/>
      <rgbColor rgb="FF9999FF"/>
      <rgbColor rgb="FF7030A0"/>
      <rgbColor rgb="FFF9F9F9"/>
      <rgbColor rgb="FFEBF3FB"/>
      <rgbColor rgb="FF660066"/>
      <rgbColor rgb="FFCC6600"/>
      <rgbColor rgb="FF4A7EBB"/>
      <rgbColor rgb="FFBDD7EE"/>
      <rgbColor rgb="FF000080"/>
      <rgbColor rgb="FFFF00FF"/>
      <rgbColor rgb="FFFFFF00"/>
      <rgbColor rgb="FF00FFFF"/>
      <rgbColor rgb="FF800080"/>
      <rgbColor rgb="FFC00000"/>
      <rgbColor rgb="FF008080"/>
      <rgbColor rgb="FF0000FF"/>
      <rgbColor rgb="FF00B0F0"/>
      <rgbColor rgb="FFCCFFFF"/>
      <rgbColor rgb="FFC6EFCE"/>
      <rgbColor rgb="FFFFFF99"/>
      <rgbColor rgb="FF99CCFF"/>
      <rgbColor rgb="FFFF99CC"/>
      <rgbColor rgb="FFCC99FF"/>
      <rgbColor rgb="FFD9D9D9"/>
      <rgbColor rgb="FF2E75B6"/>
      <rgbColor rgb="FF4BACC6"/>
      <rgbColor rgb="FF9BBB59"/>
      <rgbColor rgb="FFF4B942"/>
      <rgbColor rgb="FFFF9900"/>
      <rgbColor rgb="FFFF6600"/>
      <rgbColor rgb="FF8064A2"/>
      <rgbColor rgb="FF878787"/>
      <rgbColor rgb="FF1F3864"/>
      <rgbColor rgb="FF41719C"/>
      <rgbColor rgb="FF003300"/>
      <rgbColor rgb="FF333300"/>
      <rgbColor rgb="FFCC0000"/>
      <rgbColor rgb="FFC0504D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Total Sales by Region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'Task9 - Charts'!B3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'Task9 - Charts'!$A$4:$A$7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'Task9 - Charts'!$B$4:$B$7</c:f>
              <c:numCache>
                <c:formatCode>\₹#,##0</c:formatCode>
                <c:ptCount val="4"/>
                <c:pt idx="0">
                  <c:v>15131000</c:v>
                </c:pt>
                <c:pt idx="1">
                  <c:v>12457000</c:v>
                </c:pt>
                <c:pt idx="2">
                  <c:v>14766000</c:v>
                </c:pt>
                <c:pt idx="3">
                  <c:v>19279000</c:v>
                </c:pt>
              </c:numCache>
            </c:numRef>
          </c:val>
        </c:ser>
        <c:gapWidth val="150"/>
        <c:overlap val="0"/>
        <c:axId val="91909264"/>
        <c:axId val="52143838"/>
      </c:barChart>
      <c:catAx>
        <c:axId val="9190926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Region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2143838"/>
        <c:crosses val="autoZero"/>
        <c:auto val="1"/>
        <c:lblAlgn val="ctr"/>
        <c:lblOffset val="100"/>
        <c:noMultiLvlLbl val="0"/>
      </c:catAx>
      <c:valAx>
        <c:axId val="5214383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Sales (₹)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₹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190926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Monthly Sales Trend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'Task9 - Charts'!B12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rgbClr val="4a7ebb"/>
            </a:solidFill>
            <a:ln w="4752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'Task9 - Charts'!$A$13:$A$24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'Task9 - Charts'!$B$13:$B$24</c:f>
              <c:numCache>
                <c:formatCode>General</c:formatCode>
                <c:ptCount val="12"/>
                <c:pt idx="0">
                  <c:v>5327000</c:v>
                </c:pt>
                <c:pt idx="1">
                  <c:v>4453000</c:v>
                </c:pt>
                <c:pt idx="2">
                  <c:v>6548000</c:v>
                </c:pt>
                <c:pt idx="3">
                  <c:v>5460000</c:v>
                </c:pt>
                <c:pt idx="4">
                  <c:v>6940000</c:v>
                </c:pt>
                <c:pt idx="5">
                  <c:v>5483000</c:v>
                </c:pt>
                <c:pt idx="6">
                  <c:v>3731000</c:v>
                </c:pt>
                <c:pt idx="7">
                  <c:v>4401000</c:v>
                </c:pt>
                <c:pt idx="8">
                  <c:v>2670000</c:v>
                </c:pt>
                <c:pt idx="9">
                  <c:v>3772000</c:v>
                </c:pt>
                <c:pt idx="10">
                  <c:v>6744000</c:v>
                </c:pt>
                <c:pt idx="11">
                  <c:v>6104000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4364399"/>
        <c:axId val="95776083"/>
      </c:lineChart>
      <c:catAx>
        <c:axId val="436439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5776083"/>
        <c:crosses val="autoZero"/>
        <c:auto val="1"/>
        <c:lblAlgn val="ctr"/>
        <c:lblOffset val="100"/>
        <c:noMultiLvlLbl val="0"/>
      </c:catAx>
      <c:valAx>
        <c:axId val="9577608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Sales (₹)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36439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Product-wise Sales Distribution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'Task9 - Charts'!B27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explosion val="0"/>
          <c:dPt>
            <c:idx val="0"/>
            <c:spPr>
              <a:solidFill>
                <a:srgbClr val="4f81bd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1"/>
            <c:spPr>
              <a:solidFill>
                <a:srgbClr val="c0504d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2"/>
            <c:spPr>
              <a:solidFill>
                <a:srgbClr val="9bbb59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3"/>
            <c:spPr>
              <a:solidFill>
                <a:srgbClr val="8064a2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4"/>
            <c:spPr>
              <a:solidFill>
                <a:srgbClr val="4bacc6"/>
              </a:solidFill>
              <a:ln w="9360">
                <a:solidFill>
                  <a:srgbClr val="f9f9f9"/>
                </a:solidFill>
                <a:round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3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4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eparator>; </c:separator>
            <c:showLeaderLines val="1"/>
          </c:dLbls>
          <c:cat>
            <c:strRef>
              <c:f>'Task9 - Charts'!$A$28:$A$32</c:f>
              <c:strCache>
                <c:ptCount val="5"/>
                <c:pt idx="0">
                  <c:v>Accessories</c:v>
                </c:pt>
                <c:pt idx="1">
                  <c:v>Laptop</c:v>
                </c:pt>
                <c:pt idx="2">
                  <c:v>Mobile</c:v>
                </c:pt>
                <c:pt idx="3">
                  <c:v>Monitor</c:v>
                </c:pt>
                <c:pt idx="4">
                  <c:v>Tablet</c:v>
                </c:pt>
              </c:strCache>
            </c:strRef>
          </c:cat>
          <c:val>
            <c:numRef>
              <c:f>'Task9 - Charts'!$B$28:$B$32</c:f>
              <c:numCache>
                <c:formatCode>General</c:formatCode>
                <c:ptCount val="5"/>
                <c:pt idx="0">
                  <c:v>11024000</c:v>
                </c:pt>
                <c:pt idx="1">
                  <c:v>14109000</c:v>
                </c:pt>
                <c:pt idx="2">
                  <c:v>9596000</c:v>
                </c:pt>
                <c:pt idx="3">
                  <c:v>15592000</c:v>
                </c:pt>
                <c:pt idx="4">
                  <c:v>11312000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2</xdr:row>
      <xdr:rowOff>0</xdr:rowOff>
    </xdr:from>
    <xdr:to>
      <xdr:col>12</xdr:col>
      <xdr:colOff>255960</xdr:colOff>
      <xdr:row>24</xdr:row>
      <xdr:rowOff>128520</xdr:rowOff>
    </xdr:to>
    <xdr:graphicFrame>
      <xdr:nvGraphicFramePr>
        <xdr:cNvPr id="0" name="Chart 1"/>
        <xdr:cNvGraphicFramePr/>
      </xdr:nvGraphicFramePr>
      <xdr:xfrm>
        <a:off x="2867040" y="628560"/>
        <a:ext cx="575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3</xdr:col>
      <xdr:colOff>0</xdr:colOff>
      <xdr:row>17</xdr:row>
      <xdr:rowOff>0</xdr:rowOff>
    </xdr:from>
    <xdr:to>
      <xdr:col>12</xdr:col>
      <xdr:colOff>255960</xdr:colOff>
      <xdr:row>39</xdr:row>
      <xdr:rowOff>128880</xdr:rowOff>
    </xdr:to>
    <xdr:graphicFrame>
      <xdr:nvGraphicFramePr>
        <xdr:cNvPr id="1" name="Chart 2"/>
        <xdr:cNvGraphicFramePr/>
      </xdr:nvGraphicFramePr>
      <xdr:xfrm>
        <a:off x="2867040" y="3486240"/>
        <a:ext cx="575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3</xdr:col>
      <xdr:colOff>0</xdr:colOff>
      <xdr:row>33</xdr:row>
      <xdr:rowOff>0</xdr:rowOff>
    </xdr:from>
    <xdr:to>
      <xdr:col>12</xdr:col>
      <xdr:colOff>255960</xdr:colOff>
      <xdr:row>55</xdr:row>
      <xdr:rowOff>128520</xdr:rowOff>
    </xdr:to>
    <xdr:graphicFrame>
      <xdr:nvGraphicFramePr>
        <xdr:cNvPr id="2" name="Chart 3"/>
        <xdr:cNvGraphicFramePr/>
      </xdr:nvGraphicFramePr>
      <xdr:xfrm>
        <a:off x="2867040" y="6534000"/>
        <a:ext cx="575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O2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8"/>
    <col collapsed="false" customWidth="true" hidden="false" outlineLevel="0" max="3" min="3" style="0" width="10"/>
    <col collapsed="false" customWidth="true" hidden="false" outlineLevel="0" max="4" min="4" style="0" width="14"/>
    <col collapsed="false" customWidth="true" hidden="false" outlineLevel="0" max="5" min="5" style="0" width="8"/>
    <col collapsed="false" customWidth="true" hidden="false" outlineLevel="0" max="6" min="6" style="0" width="10"/>
    <col collapsed="false" customWidth="true" hidden="false" outlineLevel="0" max="7" min="7" style="0" width="12"/>
    <col collapsed="false" customWidth="true" hidden="false" outlineLevel="0" max="8" min="8" style="0" width="14"/>
    <col collapsed="false" customWidth="true" hidden="false" outlineLevel="0" max="9" min="9" style="0" width="12"/>
    <col collapsed="false" customWidth="true" hidden="false" outlineLevel="0" max="13" min="10" style="0" width="14"/>
    <col collapsed="false" customWidth="true" hidden="false" outlineLevel="0" max="14" min="14" style="0" width="12"/>
    <col collapsed="false" customWidth="true" hidden="false" outlineLevel="0" max="15" min="15" style="0" width="22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customFormat="false" ht="15" hidden="false" customHeight="false" outlineLevel="0" collapsed="false">
      <c r="A2" s="2" t="s">
        <v>15</v>
      </c>
      <c r="B2" s="2" t="s">
        <v>16</v>
      </c>
      <c r="C2" s="2" t="s">
        <v>17</v>
      </c>
      <c r="D2" s="2" t="s">
        <v>18</v>
      </c>
      <c r="E2" s="2" t="s">
        <v>19</v>
      </c>
      <c r="F2" s="2" t="n">
        <v>48</v>
      </c>
      <c r="G2" s="3" t="n">
        <v>8000</v>
      </c>
      <c r="H2" s="3" t="n">
        <v>384000</v>
      </c>
      <c r="I2" s="4" t="n">
        <v>5</v>
      </c>
      <c r="J2" s="3" t="n">
        <v>19200</v>
      </c>
      <c r="K2" s="3" t="n">
        <v>364800</v>
      </c>
      <c r="L2" s="3" t="n">
        <v>212854.09</v>
      </c>
      <c r="M2" s="3" t="n">
        <v>151945.91</v>
      </c>
      <c r="N2" s="5" t="n">
        <v>0.416518389277677</v>
      </c>
      <c r="O2" s="6" t="n">
        <f aca="true">NOW()</f>
        <v>46192.1876784835</v>
      </c>
    </row>
    <row r="3" customFormat="false" ht="15" hidden="false" customHeight="false" outlineLevel="0" collapsed="false">
      <c r="A3" s="7" t="s">
        <v>20</v>
      </c>
      <c r="B3" s="7" t="s">
        <v>21</v>
      </c>
      <c r="C3" s="7" t="s">
        <v>17</v>
      </c>
      <c r="D3" s="7" t="s">
        <v>22</v>
      </c>
      <c r="E3" s="7" t="s">
        <v>23</v>
      </c>
      <c r="F3" s="7" t="n">
        <v>6</v>
      </c>
      <c r="G3" s="8" t="n">
        <v>12000</v>
      </c>
      <c r="H3" s="8" t="n">
        <v>72000</v>
      </c>
      <c r="I3" s="9" t="n">
        <v>15</v>
      </c>
      <c r="J3" s="8" t="n">
        <v>10800</v>
      </c>
      <c r="K3" s="8" t="n">
        <v>61200</v>
      </c>
      <c r="L3" s="8" t="n">
        <v>33951.76</v>
      </c>
      <c r="M3" s="8" t="n">
        <v>27248.24</v>
      </c>
      <c r="N3" s="10" t="n">
        <v>0.445232598077732</v>
      </c>
      <c r="O3" s="11" t="n">
        <f aca="true">NOW()</f>
        <v>46192.1876784836</v>
      </c>
    </row>
    <row r="4" customFormat="false" ht="15" hidden="false" customHeight="false" outlineLevel="0" collapsed="false">
      <c r="A4" s="2" t="s">
        <v>24</v>
      </c>
      <c r="B4" s="2" t="s">
        <v>25</v>
      </c>
      <c r="C4" s="2" t="s">
        <v>17</v>
      </c>
      <c r="D4" s="2" t="s">
        <v>26</v>
      </c>
      <c r="E4" s="2" t="s">
        <v>27</v>
      </c>
      <c r="F4" s="2" t="n">
        <v>15</v>
      </c>
      <c r="G4" s="3" t="n">
        <v>12000</v>
      </c>
      <c r="H4" s="3" t="n">
        <v>180000</v>
      </c>
      <c r="I4" s="4" t="n">
        <v>20</v>
      </c>
      <c r="J4" s="3" t="n">
        <v>36000</v>
      </c>
      <c r="K4" s="3" t="n">
        <v>144000</v>
      </c>
      <c r="L4" s="3" t="n">
        <v>79773.18</v>
      </c>
      <c r="M4" s="3" t="n">
        <v>64226.82</v>
      </c>
      <c r="N4" s="5" t="n">
        <v>0.44601960454742</v>
      </c>
      <c r="O4" s="6" t="n">
        <f aca="true">NOW()</f>
        <v>46192.1876784836</v>
      </c>
    </row>
    <row r="5" customFormat="false" ht="15" hidden="false" customHeight="false" outlineLevel="0" collapsed="false">
      <c r="A5" s="7" t="s">
        <v>28</v>
      </c>
      <c r="B5" s="7" t="s">
        <v>29</v>
      </c>
      <c r="C5" s="7" t="s">
        <v>30</v>
      </c>
      <c r="D5" s="7" t="s">
        <v>22</v>
      </c>
      <c r="E5" s="7" t="s">
        <v>31</v>
      </c>
      <c r="F5" s="7" t="n">
        <v>27</v>
      </c>
      <c r="G5" s="8" t="n">
        <v>25000</v>
      </c>
      <c r="H5" s="8" t="n">
        <v>675000</v>
      </c>
      <c r="I5" s="9" t="n">
        <v>15</v>
      </c>
      <c r="J5" s="8" t="n">
        <v>101250</v>
      </c>
      <c r="K5" s="8" t="n">
        <v>573750</v>
      </c>
      <c r="L5" s="8" t="n">
        <v>366276.18</v>
      </c>
      <c r="M5" s="8" t="n">
        <v>207473.82</v>
      </c>
      <c r="N5" s="10" t="n">
        <v>0.361610147418614</v>
      </c>
      <c r="O5" s="11" t="n">
        <f aca="true">NOW()</f>
        <v>46192.1876784836</v>
      </c>
    </row>
    <row r="6" customFormat="false" ht="15" hidden="false" customHeight="false" outlineLevel="0" collapsed="false">
      <c r="A6" s="2" t="s">
        <v>32</v>
      </c>
      <c r="B6" s="2" t="s">
        <v>33</v>
      </c>
      <c r="C6" s="2" t="s">
        <v>17</v>
      </c>
      <c r="D6" s="2" t="s">
        <v>26</v>
      </c>
      <c r="E6" s="2" t="s">
        <v>34</v>
      </c>
      <c r="F6" s="2" t="n">
        <v>45</v>
      </c>
      <c r="G6" s="3" t="n">
        <v>2000</v>
      </c>
      <c r="H6" s="3" t="n">
        <v>90000</v>
      </c>
      <c r="I6" s="4" t="n">
        <v>10</v>
      </c>
      <c r="J6" s="3" t="n">
        <v>9000</v>
      </c>
      <c r="K6" s="3" t="n">
        <v>81000</v>
      </c>
      <c r="L6" s="3" t="n">
        <v>47926.14</v>
      </c>
      <c r="M6" s="3" t="n">
        <v>33073.86</v>
      </c>
      <c r="N6" s="5" t="n">
        <v>0.408319298749254</v>
      </c>
      <c r="O6" s="6" t="n">
        <f aca="true">NOW()</f>
        <v>46192.1876784836</v>
      </c>
    </row>
    <row r="7" customFormat="false" ht="15" hidden="false" customHeight="false" outlineLevel="0" collapsed="false">
      <c r="A7" s="7" t="s">
        <v>35</v>
      </c>
      <c r="B7" s="7" t="s">
        <v>36</v>
      </c>
      <c r="C7" s="7" t="s">
        <v>30</v>
      </c>
      <c r="D7" s="7" t="s">
        <v>37</v>
      </c>
      <c r="E7" s="7" t="s">
        <v>38</v>
      </c>
      <c r="F7" s="7" t="n">
        <v>7</v>
      </c>
      <c r="G7" s="8" t="n">
        <v>15000</v>
      </c>
      <c r="H7" s="8" t="n">
        <v>105000</v>
      </c>
      <c r="I7" s="9" t="n">
        <v>15</v>
      </c>
      <c r="J7" s="8" t="n">
        <v>15750</v>
      </c>
      <c r="K7" s="8" t="n">
        <v>89250</v>
      </c>
      <c r="L7" s="8" t="n">
        <v>50382.29</v>
      </c>
      <c r="M7" s="8" t="n">
        <v>38867.71</v>
      </c>
      <c r="N7" s="10" t="n">
        <v>0.43549254347498</v>
      </c>
      <c r="O7" s="11" t="n">
        <f aca="true">NOW()</f>
        <v>46192.1876784836</v>
      </c>
    </row>
    <row r="8" customFormat="false" ht="15" hidden="false" customHeight="false" outlineLevel="0" collapsed="false">
      <c r="A8" s="2" t="s">
        <v>39</v>
      </c>
      <c r="B8" s="2" t="s">
        <v>40</v>
      </c>
      <c r="C8" s="2" t="s">
        <v>41</v>
      </c>
      <c r="D8" s="2" t="s">
        <v>22</v>
      </c>
      <c r="E8" s="2" t="s">
        <v>42</v>
      </c>
      <c r="F8" s="2" t="n">
        <v>17</v>
      </c>
      <c r="G8" s="3" t="n">
        <v>15000</v>
      </c>
      <c r="H8" s="3" t="n">
        <v>255000</v>
      </c>
      <c r="I8" s="4" t="n">
        <v>15</v>
      </c>
      <c r="J8" s="3" t="n">
        <v>38250</v>
      </c>
      <c r="K8" s="3" t="n">
        <v>216750</v>
      </c>
      <c r="L8" s="3" t="n">
        <v>136646.62</v>
      </c>
      <c r="M8" s="3" t="n">
        <v>80103.38</v>
      </c>
      <c r="N8" s="5" t="n">
        <v>0.369565786281795</v>
      </c>
      <c r="O8" s="6" t="n">
        <f aca="true">NOW()</f>
        <v>46192.1876784836</v>
      </c>
    </row>
    <row r="9" customFormat="false" ht="15" hidden="false" customHeight="false" outlineLevel="0" collapsed="false">
      <c r="A9" s="7" t="s">
        <v>43</v>
      </c>
      <c r="B9" s="7" t="s">
        <v>44</v>
      </c>
      <c r="C9" s="7" t="s">
        <v>45</v>
      </c>
      <c r="D9" s="7" t="s">
        <v>18</v>
      </c>
      <c r="E9" s="7" t="s">
        <v>46</v>
      </c>
      <c r="F9" s="7" t="n">
        <v>36</v>
      </c>
      <c r="G9" s="8" t="n">
        <v>8000</v>
      </c>
      <c r="H9" s="8" t="n">
        <v>288000</v>
      </c>
      <c r="I9" s="9" t="n">
        <v>20</v>
      </c>
      <c r="J9" s="8" t="n">
        <v>57600</v>
      </c>
      <c r="K9" s="8" t="n">
        <v>230400</v>
      </c>
      <c r="L9" s="8" t="n">
        <v>157321.21</v>
      </c>
      <c r="M9" s="8" t="n">
        <v>73078.79</v>
      </c>
      <c r="N9" s="10" t="n">
        <v>0.317182237809479</v>
      </c>
      <c r="O9" s="11" t="n">
        <f aca="true">NOW()</f>
        <v>46192.1876784836</v>
      </c>
    </row>
    <row r="10" customFormat="false" ht="15" hidden="false" customHeight="false" outlineLevel="0" collapsed="false">
      <c r="A10" s="2" t="s">
        <v>47</v>
      </c>
      <c r="B10" s="2" t="s">
        <v>48</v>
      </c>
      <c r="C10" s="2" t="s">
        <v>41</v>
      </c>
      <c r="D10" s="2" t="s">
        <v>22</v>
      </c>
      <c r="E10" s="2" t="s">
        <v>49</v>
      </c>
      <c r="F10" s="2" t="n">
        <v>13</v>
      </c>
      <c r="G10" s="3" t="n">
        <v>15000</v>
      </c>
      <c r="H10" s="3" t="n">
        <v>195000</v>
      </c>
      <c r="I10" s="4" t="n">
        <v>0</v>
      </c>
      <c r="J10" s="3" t="n">
        <v>0</v>
      </c>
      <c r="K10" s="3" t="n">
        <v>195000</v>
      </c>
      <c r="L10" s="3" t="n">
        <v>126591.95</v>
      </c>
      <c r="M10" s="3" t="n">
        <v>68408.05</v>
      </c>
      <c r="N10" s="5" t="n">
        <v>0.350810502214843</v>
      </c>
      <c r="O10" s="6" t="n">
        <f aca="true">NOW()</f>
        <v>46192.1876784836</v>
      </c>
    </row>
    <row r="11" customFormat="false" ht="15" hidden="false" customHeight="false" outlineLevel="0" collapsed="false">
      <c r="A11" s="7" t="s">
        <v>50</v>
      </c>
      <c r="B11" s="7" t="s">
        <v>51</v>
      </c>
      <c r="C11" s="7" t="s">
        <v>41</v>
      </c>
      <c r="D11" s="7" t="s">
        <v>18</v>
      </c>
      <c r="E11" s="7" t="s">
        <v>52</v>
      </c>
      <c r="F11" s="7" t="n">
        <v>15</v>
      </c>
      <c r="G11" s="8" t="n">
        <v>15000</v>
      </c>
      <c r="H11" s="8" t="n">
        <v>225000</v>
      </c>
      <c r="I11" s="9" t="n">
        <v>15</v>
      </c>
      <c r="J11" s="8" t="n">
        <v>33750</v>
      </c>
      <c r="K11" s="8" t="n">
        <v>191250</v>
      </c>
      <c r="L11" s="8" t="n">
        <v>113161.87</v>
      </c>
      <c r="M11" s="8" t="n">
        <v>78088.13</v>
      </c>
      <c r="N11" s="10" t="n">
        <v>0.408303959533486</v>
      </c>
      <c r="O11" s="11" t="n">
        <f aca="true">NOW()</f>
        <v>46192.1876784836</v>
      </c>
    </row>
    <row r="12" customFormat="false" ht="15" hidden="false" customHeight="false" outlineLevel="0" collapsed="false">
      <c r="A12" s="2" t="s">
        <v>53</v>
      </c>
      <c r="B12" s="2" t="s">
        <v>54</v>
      </c>
      <c r="C12" s="2" t="s">
        <v>41</v>
      </c>
      <c r="D12" s="2" t="s">
        <v>26</v>
      </c>
      <c r="E12" s="2" t="s">
        <v>55</v>
      </c>
      <c r="F12" s="2" t="n">
        <v>24</v>
      </c>
      <c r="G12" s="3" t="n">
        <v>8000</v>
      </c>
      <c r="H12" s="3" t="n">
        <v>192000</v>
      </c>
      <c r="I12" s="4" t="n">
        <v>5</v>
      </c>
      <c r="J12" s="3" t="n">
        <v>9600</v>
      </c>
      <c r="K12" s="3" t="n">
        <v>182400</v>
      </c>
      <c r="L12" s="3" t="n">
        <v>118655.99</v>
      </c>
      <c r="M12" s="3" t="n">
        <v>63744.01</v>
      </c>
      <c r="N12" s="5" t="n">
        <v>0.349473723843346</v>
      </c>
      <c r="O12" s="6" t="n">
        <f aca="true">NOW()</f>
        <v>46192.1876784836</v>
      </c>
    </row>
    <row r="13" customFormat="false" ht="15" hidden="false" customHeight="false" outlineLevel="0" collapsed="false">
      <c r="A13" s="7" t="s">
        <v>56</v>
      </c>
      <c r="B13" s="7" t="s">
        <v>57</v>
      </c>
      <c r="C13" s="7" t="s">
        <v>17</v>
      </c>
      <c r="D13" s="7" t="s">
        <v>22</v>
      </c>
      <c r="E13" s="7" t="s">
        <v>58</v>
      </c>
      <c r="F13" s="7" t="n">
        <v>41</v>
      </c>
      <c r="G13" s="8" t="n">
        <v>25000</v>
      </c>
      <c r="H13" s="8" t="n">
        <v>1025000</v>
      </c>
      <c r="I13" s="9" t="n">
        <v>20</v>
      </c>
      <c r="J13" s="8" t="n">
        <v>205000</v>
      </c>
      <c r="K13" s="8" t="n">
        <v>820000</v>
      </c>
      <c r="L13" s="8" t="n">
        <v>540682.6</v>
      </c>
      <c r="M13" s="8" t="n">
        <v>279317.4</v>
      </c>
      <c r="N13" s="10" t="n">
        <v>0.340630980307448</v>
      </c>
      <c r="O13" s="11" t="n">
        <f aca="true">NOW()</f>
        <v>46192.1876784836</v>
      </c>
    </row>
    <row r="14" customFormat="false" ht="15" hidden="false" customHeight="false" outlineLevel="0" collapsed="false">
      <c r="A14" s="2" t="s">
        <v>59</v>
      </c>
      <c r="B14" s="2" t="s">
        <v>60</v>
      </c>
      <c r="C14" s="2" t="s">
        <v>30</v>
      </c>
      <c r="D14" s="2" t="s">
        <v>61</v>
      </c>
      <c r="E14" s="2" t="s">
        <v>19</v>
      </c>
      <c r="F14" s="2" t="n">
        <v>25</v>
      </c>
      <c r="G14" s="3" t="n">
        <v>8000</v>
      </c>
      <c r="H14" s="3" t="n">
        <v>200000</v>
      </c>
      <c r="I14" s="4" t="n">
        <v>20</v>
      </c>
      <c r="J14" s="3" t="n">
        <v>40000</v>
      </c>
      <c r="K14" s="3" t="n">
        <v>160000</v>
      </c>
      <c r="L14" s="3" t="n">
        <v>93270.76</v>
      </c>
      <c r="M14" s="3" t="n">
        <v>66729.24</v>
      </c>
      <c r="N14" s="5" t="n">
        <v>0.41705772390446</v>
      </c>
      <c r="O14" s="6" t="n">
        <f aca="true">NOW()</f>
        <v>46192.1876784836</v>
      </c>
    </row>
    <row r="15" customFormat="false" ht="15" hidden="false" customHeight="false" outlineLevel="0" collapsed="false">
      <c r="A15" s="7" t="s">
        <v>62</v>
      </c>
      <c r="B15" s="7" t="s">
        <v>63</v>
      </c>
      <c r="C15" s="7" t="s">
        <v>41</v>
      </c>
      <c r="D15" s="7" t="s">
        <v>18</v>
      </c>
      <c r="E15" s="7" t="s">
        <v>23</v>
      </c>
      <c r="F15" s="7" t="n">
        <v>15</v>
      </c>
      <c r="G15" s="8" t="n">
        <v>15000</v>
      </c>
      <c r="H15" s="8" t="n">
        <v>225000</v>
      </c>
      <c r="I15" s="9" t="n">
        <v>10</v>
      </c>
      <c r="J15" s="8" t="n">
        <v>22500</v>
      </c>
      <c r="K15" s="8" t="n">
        <v>202500</v>
      </c>
      <c r="L15" s="8" t="n">
        <v>123560.38</v>
      </c>
      <c r="M15" s="8" t="n">
        <v>78939.62</v>
      </c>
      <c r="N15" s="10" t="n">
        <v>0.389825281946651</v>
      </c>
      <c r="O15" s="11" t="n">
        <f aca="true">NOW()</f>
        <v>46192.1876784837</v>
      </c>
    </row>
    <row r="16" customFormat="false" ht="15" hidden="false" customHeight="false" outlineLevel="0" collapsed="false">
      <c r="A16" s="2" t="s">
        <v>64</v>
      </c>
      <c r="B16" s="2" t="s">
        <v>65</v>
      </c>
      <c r="C16" s="2" t="s">
        <v>17</v>
      </c>
      <c r="D16" s="2" t="s">
        <v>26</v>
      </c>
      <c r="E16" s="2" t="s">
        <v>27</v>
      </c>
      <c r="F16" s="2" t="n">
        <v>37</v>
      </c>
      <c r="G16" s="3" t="n">
        <v>8000</v>
      </c>
      <c r="H16" s="3" t="n">
        <v>296000</v>
      </c>
      <c r="I16" s="4" t="n">
        <v>5</v>
      </c>
      <c r="J16" s="3" t="n">
        <v>14800</v>
      </c>
      <c r="K16" s="3" t="n">
        <v>281200</v>
      </c>
      <c r="L16" s="3" t="n">
        <v>182306.4</v>
      </c>
      <c r="M16" s="3" t="n">
        <v>98893.6</v>
      </c>
      <c r="N16" s="5" t="n">
        <v>0.351684200205768</v>
      </c>
      <c r="O16" s="6" t="n">
        <f aca="true">NOW()</f>
        <v>46192.1876784837</v>
      </c>
    </row>
    <row r="17" customFormat="false" ht="15" hidden="false" customHeight="false" outlineLevel="0" collapsed="false">
      <c r="A17" s="7" t="s">
        <v>66</v>
      </c>
      <c r="B17" s="7" t="s">
        <v>67</v>
      </c>
      <c r="C17" s="7" t="s">
        <v>45</v>
      </c>
      <c r="D17" s="7" t="s">
        <v>61</v>
      </c>
      <c r="E17" s="7" t="s">
        <v>31</v>
      </c>
      <c r="F17" s="7" t="n">
        <v>10</v>
      </c>
      <c r="G17" s="8" t="n">
        <v>8000</v>
      </c>
      <c r="H17" s="8" t="n">
        <v>80000</v>
      </c>
      <c r="I17" s="9" t="n">
        <v>5</v>
      </c>
      <c r="J17" s="8" t="n">
        <v>4000</v>
      </c>
      <c r="K17" s="8" t="n">
        <v>76000</v>
      </c>
      <c r="L17" s="8" t="n">
        <v>44611.55</v>
      </c>
      <c r="M17" s="8" t="n">
        <v>31388.45</v>
      </c>
      <c r="N17" s="10" t="n">
        <v>0.413005873845903</v>
      </c>
      <c r="O17" s="11" t="n">
        <f aca="true">NOW()</f>
        <v>46192.1876784837</v>
      </c>
    </row>
    <row r="18" customFormat="false" ht="15" hidden="false" customHeight="false" outlineLevel="0" collapsed="false">
      <c r="A18" s="2" t="s">
        <v>68</v>
      </c>
      <c r="B18" s="2" t="s">
        <v>69</v>
      </c>
      <c r="C18" s="2" t="s">
        <v>41</v>
      </c>
      <c r="D18" s="2" t="s">
        <v>22</v>
      </c>
      <c r="E18" s="2" t="s">
        <v>34</v>
      </c>
      <c r="F18" s="2" t="n">
        <v>28</v>
      </c>
      <c r="G18" s="3" t="n">
        <v>12000</v>
      </c>
      <c r="H18" s="3" t="n">
        <v>336000</v>
      </c>
      <c r="I18" s="4" t="n">
        <v>15</v>
      </c>
      <c r="J18" s="3" t="n">
        <v>50400</v>
      </c>
      <c r="K18" s="3" t="n">
        <v>285600</v>
      </c>
      <c r="L18" s="3" t="n">
        <v>172587.93</v>
      </c>
      <c r="M18" s="3" t="n">
        <v>113012.07</v>
      </c>
      <c r="N18" s="5" t="n">
        <v>0.395700533442958</v>
      </c>
      <c r="O18" s="6" t="n">
        <f aca="true">NOW()</f>
        <v>46192.1876784837</v>
      </c>
    </row>
    <row r="19" customFormat="false" ht="15" hidden="false" customHeight="false" outlineLevel="0" collapsed="false">
      <c r="A19" s="7" t="s">
        <v>70</v>
      </c>
      <c r="B19" s="7" t="s">
        <v>71</v>
      </c>
      <c r="C19" s="7" t="s">
        <v>30</v>
      </c>
      <c r="D19" s="7" t="s">
        <v>22</v>
      </c>
      <c r="E19" s="7" t="s">
        <v>38</v>
      </c>
      <c r="F19" s="7" t="n">
        <v>32</v>
      </c>
      <c r="G19" s="8" t="n">
        <v>15000</v>
      </c>
      <c r="H19" s="8" t="n">
        <v>480000</v>
      </c>
      <c r="I19" s="9" t="n">
        <v>0</v>
      </c>
      <c r="J19" s="8" t="n">
        <v>0</v>
      </c>
      <c r="K19" s="8" t="n">
        <v>480000</v>
      </c>
      <c r="L19" s="8" t="n">
        <v>325999.41</v>
      </c>
      <c r="M19" s="8" t="n">
        <v>154000.59</v>
      </c>
      <c r="N19" s="10" t="n">
        <v>0.32083456355</v>
      </c>
      <c r="O19" s="11" t="n">
        <f aca="true">NOW()</f>
        <v>46192.1876784837</v>
      </c>
    </row>
    <row r="20" customFormat="false" ht="15" hidden="false" customHeight="false" outlineLevel="0" collapsed="false">
      <c r="A20" s="2" t="s">
        <v>72</v>
      </c>
      <c r="B20" s="2" t="s">
        <v>73</v>
      </c>
      <c r="C20" s="2" t="s">
        <v>30</v>
      </c>
      <c r="D20" s="2" t="s">
        <v>26</v>
      </c>
      <c r="E20" s="2" t="s">
        <v>42</v>
      </c>
      <c r="F20" s="2" t="n">
        <v>44</v>
      </c>
      <c r="G20" s="3" t="n">
        <v>2000</v>
      </c>
      <c r="H20" s="3" t="n">
        <v>88000</v>
      </c>
      <c r="I20" s="4" t="n">
        <v>20</v>
      </c>
      <c r="J20" s="3" t="n">
        <v>17600</v>
      </c>
      <c r="K20" s="3" t="n">
        <v>70400</v>
      </c>
      <c r="L20" s="3" t="n">
        <v>39390.85</v>
      </c>
      <c r="M20" s="3" t="n">
        <v>31009.15</v>
      </c>
      <c r="N20" s="5" t="n">
        <v>0.440470844077206</v>
      </c>
      <c r="O20" s="6" t="n">
        <f aca="true">NOW()</f>
        <v>46192.1876784837</v>
      </c>
    </row>
    <row r="21" customFormat="false" ht="15" hidden="false" customHeight="false" outlineLevel="0" collapsed="false">
      <c r="A21" s="7" t="s">
        <v>74</v>
      </c>
      <c r="B21" s="7" t="s">
        <v>75</v>
      </c>
      <c r="C21" s="7" t="s">
        <v>45</v>
      </c>
      <c r="D21" s="7" t="s">
        <v>22</v>
      </c>
      <c r="E21" s="7" t="s">
        <v>46</v>
      </c>
      <c r="F21" s="7" t="n">
        <v>30</v>
      </c>
      <c r="G21" s="8" t="n">
        <v>12000</v>
      </c>
      <c r="H21" s="8" t="n">
        <v>360000</v>
      </c>
      <c r="I21" s="9" t="n">
        <v>10</v>
      </c>
      <c r="J21" s="8" t="n">
        <v>36000</v>
      </c>
      <c r="K21" s="8" t="n">
        <v>324000</v>
      </c>
      <c r="L21" s="8" t="n">
        <v>225394.41</v>
      </c>
      <c r="M21" s="8" t="n">
        <v>98605.59</v>
      </c>
      <c r="N21" s="10" t="n">
        <v>0.304338243357957</v>
      </c>
      <c r="O21" s="11" t="n">
        <f aca="true">NOW()</f>
        <v>46192.1876784837</v>
      </c>
    </row>
    <row r="22" customFormat="false" ht="15" hidden="false" customHeight="false" outlineLevel="0" collapsed="false">
      <c r="A22" s="2" t="s">
        <v>76</v>
      </c>
      <c r="B22" s="2" t="s">
        <v>16</v>
      </c>
      <c r="C22" s="2" t="s">
        <v>17</v>
      </c>
      <c r="D22" s="2" t="s">
        <v>18</v>
      </c>
      <c r="E22" s="2" t="s">
        <v>49</v>
      </c>
      <c r="F22" s="2" t="n">
        <v>44</v>
      </c>
      <c r="G22" s="3" t="n">
        <v>12000</v>
      </c>
      <c r="H22" s="3" t="n">
        <v>528000</v>
      </c>
      <c r="I22" s="4" t="n">
        <v>10</v>
      </c>
      <c r="J22" s="3" t="n">
        <v>52800</v>
      </c>
      <c r="K22" s="3" t="n">
        <v>475200</v>
      </c>
      <c r="L22" s="3" t="n">
        <v>316145.72</v>
      </c>
      <c r="M22" s="3" t="n">
        <v>159054.28</v>
      </c>
      <c r="N22" s="5" t="n">
        <v>0.334710190101383</v>
      </c>
      <c r="O22" s="6" t="n">
        <f aca="true">NOW()</f>
        <v>46192.1876784837</v>
      </c>
    </row>
    <row r="23" customFormat="false" ht="15" hidden="false" customHeight="false" outlineLevel="0" collapsed="false">
      <c r="A23" s="7" t="s">
        <v>77</v>
      </c>
      <c r="B23" s="7" t="s">
        <v>21</v>
      </c>
      <c r="C23" s="7" t="s">
        <v>41</v>
      </c>
      <c r="D23" s="7" t="s">
        <v>18</v>
      </c>
      <c r="E23" s="7" t="s">
        <v>52</v>
      </c>
      <c r="F23" s="7" t="n">
        <v>19</v>
      </c>
      <c r="G23" s="8" t="n">
        <v>2000</v>
      </c>
      <c r="H23" s="8" t="n">
        <v>38000</v>
      </c>
      <c r="I23" s="9" t="n">
        <v>5</v>
      </c>
      <c r="J23" s="8" t="n">
        <v>1900</v>
      </c>
      <c r="K23" s="8" t="n">
        <v>36100</v>
      </c>
      <c r="L23" s="8" t="n">
        <v>22311.91</v>
      </c>
      <c r="M23" s="8" t="n">
        <v>13788.09</v>
      </c>
      <c r="N23" s="10" t="n">
        <v>0.381941444050619</v>
      </c>
      <c r="O23" s="11" t="n">
        <f aca="true">NOW()</f>
        <v>46192.1876784837</v>
      </c>
    </row>
    <row r="24" customFormat="false" ht="15" hidden="false" customHeight="false" outlineLevel="0" collapsed="false">
      <c r="A24" s="2" t="s">
        <v>78</v>
      </c>
      <c r="B24" s="2" t="s">
        <v>25</v>
      </c>
      <c r="C24" s="2" t="s">
        <v>41</v>
      </c>
      <c r="D24" s="2" t="s">
        <v>22</v>
      </c>
      <c r="E24" s="2" t="s">
        <v>55</v>
      </c>
      <c r="F24" s="2" t="n">
        <v>49</v>
      </c>
      <c r="G24" s="3" t="n">
        <v>25000</v>
      </c>
      <c r="H24" s="3" t="n">
        <v>1225000</v>
      </c>
      <c r="I24" s="4" t="n">
        <v>20</v>
      </c>
      <c r="J24" s="3" t="n">
        <v>245000</v>
      </c>
      <c r="K24" s="3" t="n">
        <v>980000</v>
      </c>
      <c r="L24" s="3" t="n">
        <v>673156.29</v>
      </c>
      <c r="M24" s="3" t="n">
        <v>306843.71</v>
      </c>
      <c r="N24" s="5" t="n">
        <v>0.313105824098277</v>
      </c>
      <c r="O24" s="6" t="n">
        <f aca="true">NOW()</f>
        <v>46192.1876784837</v>
      </c>
    </row>
    <row r="25" customFormat="false" ht="15" hidden="false" customHeight="false" outlineLevel="0" collapsed="false">
      <c r="A25" s="7" t="s">
        <v>79</v>
      </c>
      <c r="B25" s="7" t="s">
        <v>29</v>
      </c>
      <c r="C25" s="7" t="s">
        <v>41</v>
      </c>
      <c r="D25" s="7" t="s">
        <v>22</v>
      </c>
      <c r="E25" s="7" t="s">
        <v>58</v>
      </c>
      <c r="F25" s="7" t="n">
        <v>39</v>
      </c>
      <c r="G25" s="8" t="n">
        <v>25000</v>
      </c>
      <c r="H25" s="8" t="n">
        <v>975000</v>
      </c>
      <c r="I25" s="9" t="n">
        <v>5</v>
      </c>
      <c r="J25" s="8" t="n">
        <v>48750</v>
      </c>
      <c r="K25" s="8" t="n">
        <v>926250</v>
      </c>
      <c r="L25" s="8" t="n">
        <v>561388.16</v>
      </c>
      <c r="M25" s="8" t="n">
        <v>364861.84</v>
      </c>
      <c r="N25" s="10" t="n">
        <v>0.393912922111328</v>
      </c>
      <c r="O25" s="11" t="n">
        <f aca="true">NOW()</f>
        <v>46192.1876784837</v>
      </c>
    </row>
    <row r="26" customFormat="false" ht="15" hidden="false" customHeight="false" outlineLevel="0" collapsed="false">
      <c r="A26" s="2" t="s">
        <v>80</v>
      </c>
      <c r="B26" s="2" t="s">
        <v>33</v>
      </c>
      <c r="C26" s="2" t="s">
        <v>30</v>
      </c>
      <c r="D26" s="2" t="s">
        <v>22</v>
      </c>
      <c r="E26" s="2" t="s">
        <v>19</v>
      </c>
      <c r="F26" s="2" t="n">
        <v>50</v>
      </c>
      <c r="G26" s="3" t="n">
        <v>12000</v>
      </c>
      <c r="H26" s="3" t="n">
        <v>600000</v>
      </c>
      <c r="I26" s="4" t="n">
        <v>0</v>
      </c>
      <c r="J26" s="3" t="n">
        <v>0</v>
      </c>
      <c r="K26" s="3" t="n">
        <v>600000</v>
      </c>
      <c r="L26" s="3" t="n">
        <v>383905.01</v>
      </c>
      <c r="M26" s="3" t="n">
        <v>216094.99</v>
      </c>
      <c r="N26" s="5" t="n">
        <v>0.360158312330966</v>
      </c>
      <c r="O26" s="6" t="n">
        <f aca="true">NOW()</f>
        <v>46192.1876784837</v>
      </c>
    </row>
    <row r="27" customFormat="false" ht="15" hidden="false" customHeight="false" outlineLevel="0" collapsed="false">
      <c r="A27" s="7" t="s">
        <v>81</v>
      </c>
      <c r="B27" s="7" t="s">
        <v>36</v>
      </c>
      <c r="C27" s="7" t="s">
        <v>45</v>
      </c>
      <c r="D27" s="7" t="s">
        <v>18</v>
      </c>
      <c r="E27" s="7" t="s">
        <v>23</v>
      </c>
      <c r="F27" s="7" t="n">
        <v>8</v>
      </c>
      <c r="G27" s="8" t="n">
        <v>8000</v>
      </c>
      <c r="H27" s="8" t="n">
        <v>64000</v>
      </c>
      <c r="I27" s="9" t="n">
        <v>10</v>
      </c>
      <c r="J27" s="8" t="n">
        <v>6400</v>
      </c>
      <c r="K27" s="8" t="n">
        <v>57600</v>
      </c>
      <c r="L27" s="8" t="n">
        <v>33748.87</v>
      </c>
      <c r="M27" s="8" t="n">
        <v>23851.13</v>
      </c>
      <c r="N27" s="10" t="n">
        <v>0.414082153449291</v>
      </c>
      <c r="O27" s="11" t="n">
        <f aca="true">NOW()</f>
        <v>46192.1876784837</v>
      </c>
    </row>
    <row r="28" customFormat="false" ht="15" hidden="false" customHeight="false" outlineLevel="0" collapsed="false">
      <c r="A28" s="2" t="s">
        <v>82</v>
      </c>
      <c r="B28" s="2" t="s">
        <v>40</v>
      </c>
      <c r="C28" s="2" t="s">
        <v>30</v>
      </c>
      <c r="D28" s="2" t="s">
        <v>22</v>
      </c>
      <c r="E28" s="2" t="s">
        <v>27</v>
      </c>
      <c r="F28" s="2" t="n">
        <v>6</v>
      </c>
      <c r="G28" s="3" t="n">
        <v>15000</v>
      </c>
      <c r="H28" s="3" t="n">
        <v>90000</v>
      </c>
      <c r="I28" s="4" t="n">
        <v>15</v>
      </c>
      <c r="J28" s="3" t="n">
        <v>13500</v>
      </c>
      <c r="K28" s="3" t="n">
        <v>76500</v>
      </c>
      <c r="L28" s="3" t="n">
        <v>51438.87</v>
      </c>
      <c r="M28" s="3" t="n">
        <v>25061.13</v>
      </c>
      <c r="N28" s="5" t="n">
        <v>0.327596511986987</v>
      </c>
      <c r="O28" s="6" t="n">
        <f aca="true">NOW()</f>
        <v>46192.1876784837</v>
      </c>
    </row>
    <row r="29" customFormat="false" ht="15" hidden="false" customHeight="false" outlineLevel="0" collapsed="false">
      <c r="A29" s="7" t="s">
        <v>83</v>
      </c>
      <c r="B29" s="7" t="s">
        <v>44</v>
      </c>
      <c r="C29" s="7" t="s">
        <v>30</v>
      </c>
      <c r="D29" s="7" t="s">
        <v>26</v>
      </c>
      <c r="E29" s="7" t="s">
        <v>31</v>
      </c>
      <c r="F29" s="7" t="n">
        <v>43</v>
      </c>
      <c r="G29" s="8" t="n">
        <v>2000</v>
      </c>
      <c r="H29" s="8" t="n">
        <v>86000</v>
      </c>
      <c r="I29" s="9" t="n">
        <v>20</v>
      </c>
      <c r="J29" s="8" t="n">
        <v>17200</v>
      </c>
      <c r="K29" s="8" t="n">
        <v>68800</v>
      </c>
      <c r="L29" s="8" t="n">
        <v>39544.11</v>
      </c>
      <c r="M29" s="8" t="n">
        <v>29255.89</v>
      </c>
      <c r="N29" s="10" t="n">
        <v>0.425230956153881</v>
      </c>
      <c r="O29" s="11" t="n">
        <f aca="true">NOW()</f>
        <v>46192.1876784837</v>
      </c>
    </row>
    <row r="30" customFormat="false" ht="15" hidden="false" customHeight="false" outlineLevel="0" collapsed="false">
      <c r="A30" s="2" t="s">
        <v>84</v>
      </c>
      <c r="B30" s="2" t="s">
        <v>48</v>
      </c>
      <c r="C30" s="2" t="s">
        <v>45</v>
      </c>
      <c r="D30" s="2" t="s">
        <v>26</v>
      </c>
      <c r="E30" s="2" t="s">
        <v>34</v>
      </c>
      <c r="F30" s="2" t="n">
        <v>35</v>
      </c>
      <c r="G30" s="3" t="n">
        <v>25000</v>
      </c>
      <c r="H30" s="3" t="n">
        <v>875000</v>
      </c>
      <c r="I30" s="4" t="n">
        <v>10</v>
      </c>
      <c r="J30" s="3" t="n">
        <v>87500</v>
      </c>
      <c r="K30" s="3" t="n">
        <v>787500</v>
      </c>
      <c r="L30" s="3" t="n">
        <v>480255.97</v>
      </c>
      <c r="M30" s="3" t="n">
        <v>307244.03</v>
      </c>
      <c r="N30" s="5" t="n">
        <v>0.390151155000386</v>
      </c>
      <c r="O30" s="6" t="n">
        <f aca="true">NOW()</f>
        <v>46192.1876784837</v>
      </c>
    </row>
    <row r="31" customFormat="false" ht="15" hidden="false" customHeight="false" outlineLevel="0" collapsed="false">
      <c r="A31" s="7" t="s">
        <v>85</v>
      </c>
      <c r="B31" s="7" t="s">
        <v>51</v>
      </c>
      <c r="C31" s="7" t="s">
        <v>41</v>
      </c>
      <c r="D31" s="7" t="s">
        <v>61</v>
      </c>
      <c r="E31" s="7" t="s">
        <v>38</v>
      </c>
      <c r="F31" s="7" t="n">
        <v>34</v>
      </c>
      <c r="G31" s="8" t="n">
        <v>2000</v>
      </c>
      <c r="H31" s="8" t="n">
        <v>68000</v>
      </c>
      <c r="I31" s="9" t="n">
        <v>0</v>
      </c>
      <c r="J31" s="8" t="n">
        <v>0</v>
      </c>
      <c r="K31" s="8" t="n">
        <v>68000</v>
      </c>
      <c r="L31" s="8" t="n">
        <v>39928.64</v>
      </c>
      <c r="M31" s="8" t="n">
        <v>28071.36</v>
      </c>
      <c r="N31" s="10" t="n">
        <v>0.412814157950099</v>
      </c>
      <c r="O31" s="11" t="n">
        <f aca="true">NOW()</f>
        <v>46192.1876784837</v>
      </c>
    </row>
    <row r="32" customFormat="false" ht="15" hidden="false" customHeight="false" outlineLevel="0" collapsed="false">
      <c r="A32" s="2" t="s">
        <v>86</v>
      </c>
      <c r="B32" s="2" t="s">
        <v>54</v>
      </c>
      <c r="C32" s="2" t="s">
        <v>17</v>
      </c>
      <c r="D32" s="2" t="s">
        <v>37</v>
      </c>
      <c r="E32" s="2" t="s">
        <v>42</v>
      </c>
      <c r="F32" s="2" t="n">
        <v>2</v>
      </c>
      <c r="G32" s="3" t="n">
        <v>12000</v>
      </c>
      <c r="H32" s="3" t="n">
        <v>24000</v>
      </c>
      <c r="I32" s="4" t="n">
        <v>20</v>
      </c>
      <c r="J32" s="3" t="n">
        <v>4800</v>
      </c>
      <c r="K32" s="3" t="n">
        <v>19200</v>
      </c>
      <c r="L32" s="3" t="n">
        <v>11222.73</v>
      </c>
      <c r="M32" s="3" t="n">
        <v>7977.27</v>
      </c>
      <c r="N32" s="5" t="n">
        <v>0.415482790110513</v>
      </c>
      <c r="O32" s="6" t="n">
        <f aca="true">NOW()</f>
        <v>46192.1876784837</v>
      </c>
    </row>
    <row r="33" customFormat="false" ht="15" hidden="false" customHeight="false" outlineLevel="0" collapsed="false">
      <c r="A33" s="7" t="s">
        <v>87</v>
      </c>
      <c r="B33" s="7" t="s">
        <v>57</v>
      </c>
      <c r="C33" s="7" t="s">
        <v>30</v>
      </c>
      <c r="D33" s="7" t="s">
        <v>18</v>
      </c>
      <c r="E33" s="7" t="s">
        <v>46</v>
      </c>
      <c r="F33" s="7" t="n">
        <v>5</v>
      </c>
      <c r="G33" s="8" t="n">
        <v>15000</v>
      </c>
      <c r="H33" s="8" t="n">
        <v>75000</v>
      </c>
      <c r="I33" s="9" t="n">
        <v>5</v>
      </c>
      <c r="J33" s="8" t="n">
        <v>3750</v>
      </c>
      <c r="K33" s="8" t="n">
        <v>71250</v>
      </c>
      <c r="L33" s="8" t="n">
        <v>39907.84</v>
      </c>
      <c r="M33" s="8" t="n">
        <v>31342.16</v>
      </c>
      <c r="N33" s="10" t="n">
        <v>0.439889950783454</v>
      </c>
      <c r="O33" s="11" t="n">
        <f aca="true">NOW()</f>
        <v>46192.1876784837</v>
      </c>
    </row>
    <row r="34" customFormat="false" ht="15" hidden="false" customHeight="false" outlineLevel="0" collapsed="false">
      <c r="A34" s="2" t="s">
        <v>88</v>
      </c>
      <c r="B34" s="2" t="s">
        <v>60</v>
      </c>
      <c r="C34" s="2" t="s">
        <v>17</v>
      </c>
      <c r="D34" s="2" t="s">
        <v>37</v>
      </c>
      <c r="E34" s="2" t="s">
        <v>49</v>
      </c>
      <c r="F34" s="2" t="n">
        <v>5</v>
      </c>
      <c r="G34" s="3" t="n">
        <v>12000</v>
      </c>
      <c r="H34" s="3" t="n">
        <v>60000</v>
      </c>
      <c r="I34" s="4" t="n">
        <v>5</v>
      </c>
      <c r="J34" s="3" t="n">
        <v>3000</v>
      </c>
      <c r="K34" s="3" t="n">
        <v>57000</v>
      </c>
      <c r="L34" s="3" t="n">
        <v>33730.98</v>
      </c>
      <c r="M34" s="3" t="n">
        <v>23269.02</v>
      </c>
      <c r="N34" s="5" t="n">
        <v>0.408228410405318</v>
      </c>
      <c r="O34" s="6" t="n">
        <f aca="true">NOW()</f>
        <v>46192.1876784837</v>
      </c>
    </row>
    <row r="35" customFormat="false" ht="15" hidden="false" customHeight="false" outlineLevel="0" collapsed="false">
      <c r="A35" s="7" t="s">
        <v>89</v>
      </c>
      <c r="B35" s="7" t="s">
        <v>63</v>
      </c>
      <c r="C35" s="7" t="s">
        <v>45</v>
      </c>
      <c r="D35" s="7" t="s">
        <v>26</v>
      </c>
      <c r="E35" s="7" t="s">
        <v>52</v>
      </c>
      <c r="F35" s="7" t="n">
        <v>35</v>
      </c>
      <c r="G35" s="8" t="n">
        <v>25000</v>
      </c>
      <c r="H35" s="8" t="n">
        <v>875000</v>
      </c>
      <c r="I35" s="9" t="n">
        <v>20</v>
      </c>
      <c r="J35" s="8" t="n">
        <v>175000</v>
      </c>
      <c r="K35" s="8" t="n">
        <v>700000</v>
      </c>
      <c r="L35" s="8" t="n">
        <v>445502.22</v>
      </c>
      <c r="M35" s="8" t="n">
        <v>254497.78</v>
      </c>
      <c r="N35" s="10" t="n">
        <v>0.363568252541865</v>
      </c>
      <c r="O35" s="11" t="n">
        <f aca="true">NOW()</f>
        <v>46192.1876784837</v>
      </c>
    </row>
    <row r="36" customFormat="false" ht="15" hidden="false" customHeight="false" outlineLevel="0" collapsed="false">
      <c r="A36" s="2" t="s">
        <v>90</v>
      </c>
      <c r="B36" s="2" t="s">
        <v>65</v>
      </c>
      <c r="C36" s="2" t="s">
        <v>30</v>
      </c>
      <c r="D36" s="2" t="s">
        <v>61</v>
      </c>
      <c r="E36" s="2" t="s">
        <v>55</v>
      </c>
      <c r="F36" s="2" t="n">
        <v>27</v>
      </c>
      <c r="G36" s="3" t="n">
        <v>25000</v>
      </c>
      <c r="H36" s="3" t="n">
        <v>675000</v>
      </c>
      <c r="I36" s="4" t="n">
        <v>0</v>
      </c>
      <c r="J36" s="3" t="n">
        <v>0</v>
      </c>
      <c r="K36" s="3" t="n">
        <v>675000</v>
      </c>
      <c r="L36" s="3" t="n">
        <v>381064.24</v>
      </c>
      <c r="M36" s="3" t="n">
        <v>293935.76</v>
      </c>
      <c r="N36" s="5" t="n">
        <v>0.435460377865677</v>
      </c>
      <c r="O36" s="6" t="n">
        <f aca="true">NOW()</f>
        <v>46192.1876784837</v>
      </c>
    </row>
    <row r="37" customFormat="false" ht="15" hidden="false" customHeight="false" outlineLevel="0" collapsed="false">
      <c r="A37" s="7" t="s">
        <v>91</v>
      </c>
      <c r="B37" s="7" t="s">
        <v>67</v>
      </c>
      <c r="C37" s="7" t="s">
        <v>45</v>
      </c>
      <c r="D37" s="7" t="s">
        <v>37</v>
      </c>
      <c r="E37" s="7" t="s">
        <v>58</v>
      </c>
      <c r="F37" s="7" t="n">
        <v>28</v>
      </c>
      <c r="G37" s="8" t="n">
        <v>2000</v>
      </c>
      <c r="H37" s="8" t="n">
        <v>56000</v>
      </c>
      <c r="I37" s="9" t="n">
        <v>15</v>
      </c>
      <c r="J37" s="8" t="n">
        <v>8400</v>
      </c>
      <c r="K37" s="8" t="n">
        <v>47600</v>
      </c>
      <c r="L37" s="8" t="n">
        <v>32347.79</v>
      </c>
      <c r="M37" s="8" t="n">
        <v>15252.21</v>
      </c>
      <c r="N37" s="10" t="n">
        <v>0.32042448774456</v>
      </c>
      <c r="O37" s="11" t="n">
        <f aca="true">NOW()</f>
        <v>46192.1876784837</v>
      </c>
    </row>
    <row r="38" customFormat="false" ht="15" hidden="false" customHeight="false" outlineLevel="0" collapsed="false">
      <c r="A38" s="2" t="s">
        <v>92</v>
      </c>
      <c r="B38" s="2" t="s">
        <v>69</v>
      </c>
      <c r="C38" s="2" t="s">
        <v>17</v>
      </c>
      <c r="D38" s="2" t="s">
        <v>18</v>
      </c>
      <c r="E38" s="2" t="s">
        <v>19</v>
      </c>
      <c r="F38" s="2" t="n">
        <v>4</v>
      </c>
      <c r="G38" s="3" t="n">
        <v>2000</v>
      </c>
      <c r="H38" s="3" t="n">
        <v>8000</v>
      </c>
      <c r="I38" s="4" t="n">
        <v>10</v>
      </c>
      <c r="J38" s="3" t="n">
        <v>800</v>
      </c>
      <c r="K38" s="3" t="n">
        <v>7200</v>
      </c>
      <c r="L38" s="3" t="n">
        <v>4824.64</v>
      </c>
      <c r="M38" s="3" t="n">
        <v>2375.36</v>
      </c>
      <c r="N38" s="5" t="n">
        <v>0.329911123370745</v>
      </c>
      <c r="O38" s="6" t="n">
        <f aca="true">NOW()</f>
        <v>46192.1876784837</v>
      </c>
    </row>
    <row r="39" customFormat="false" ht="15" hidden="false" customHeight="false" outlineLevel="0" collapsed="false">
      <c r="A39" s="7" t="s">
        <v>93</v>
      </c>
      <c r="B39" s="7" t="s">
        <v>71</v>
      </c>
      <c r="C39" s="7" t="s">
        <v>17</v>
      </c>
      <c r="D39" s="7" t="s">
        <v>26</v>
      </c>
      <c r="E39" s="7" t="s">
        <v>23</v>
      </c>
      <c r="F39" s="7" t="n">
        <v>13</v>
      </c>
      <c r="G39" s="8" t="n">
        <v>25000</v>
      </c>
      <c r="H39" s="8" t="n">
        <v>325000</v>
      </c>
      <c r="I39" s="9" t="n">
        <v>20</v>
      </c>
      <c r="J39" s="8" t="n">
        <v>65000</v>
      </c>
      <c r="K39" s="8" t="n">
        <v>260000</v>
      </c>
      <c r="L39" s="8" t="n">
        <v>160495.93</v>
      </c>
      <c r="M39" s="8" t="n">
        <v>99504.07</v>
      </c>
      <c r="N39" s="10" t="n">
        <v>0.38270796782503</v>
      </c>
      <c r="O39" s="11" t="n">
        <f aca="true">NOW()</f>
        <v>46192.1876784838</v>
      </c>
    </row>
    <row r="40" customFormat="false" ht="15" hidden="false" customHeight="false" outlineLevel="0" collapsed="false">
      <c r="A40" s="2" t="s">
        <v>94</v>
      </c>
      <c r="B40" s="2" t="s">
        <v>73</v>
      </c>
      <c r="C40" s="2" t="s">
        <v>45</v>
      </c>
      <c r="D40" s="2" t="s">
        <v>26</v>
      </c>
      <c r="E40" s="2" t="s">
        <v>27</v>
      </c>
      <c r="F40" s="2" t="n">
        <v>18</v>
      </c>
      <c r="G40" s="3" t="n">
        <v>2000</v>
      </c>
      <c r="H40" s="3" t="n">
        <v>36000</v>
      </c>
      <c r="I40" s="4" t="n">
        <v>5</v>
      </c>
      <c r="J40" s="3" t="n">
        <v>1800</v>
      </c>
      <c r="K40" s="3" t="n">
        <v>34200</v>
      </c>
      <c r="L40" s="3" t="n">
        <v>23296.11</v>
      </c>
      <c r="M40" s="3" t="n">
        <v>10903.89</v>
      </c>
      <c r="N40" s="5" t="n">
        <v>0.318827106889413</v>
      </c>
      <c r="O40" s="6" t="n">
        <f aca="true">NOW()</f>
        <v>46192.1876784838</v>
      </c>
    </row>
    <row r="41" customFormat="false" ht="15" hidden="false" customHeight="false" outlineLevel="0" collapsed="false">
      <c r="A41" s="7" t="s">
        <v>95</v>
      </c>
      <c r="B41" s="7" t="s">
        <v>75</v>
      </c>
      <c r="C41" s="7" t="s">
        <v>17</v>
      </c>
      <c r="D41" s="7" t="s">
        <v>61</v>
      </c>
      <c r="E41" s="7" t="s">
        <v>31</v>
      </c>
      <c r="F41" s="7" t="n">
        <v>36</v>
      </c>
      <c r="G41" s="8" t="n">
        <v>15000</v>
      </c>
      <c r="H41" s="8" t="n">
        <v>540000</v>
      </c>
      <c r="I41" s="9" t="n">
        <v>0</v>
      </c>
      <c r="J41" s="8" t="n">
        <v>0</v>
      </c>
      <c r="K41" s="8" t="n">
        <v>540000</v>
      </c>
      <c r="L41" s="8" t="n">
        <v>349823.74</v>
      </c>
      <c r="M41" s="8" t="n">
        <v>190176.26</v>
      </c>
      <c r="N41" s="10" t="n">
        <v>0.352178265900222</v>
      </c>
      <c r="O41" s="11" t="n">
        <f aca="true">NOW()</f>
        <v>46192.1876784838</v>
      </c>
    </row>
    <row r="42" customFormat="false" ht="15" hidden="false" customHeight="false" outlineLevel="0" collapsed="false">
      <c r="A42" s="2" t="s">
        <v>96</v>
      </c>
      <c r="B42" s="2" t="s">
        <v>16</v>
      </c>
      <c r="C42" s="2" t="s">
        <v>17</v>
      </c>
      <c r="D42" s="2" t="s">
        <v>18</v>
      </c>
      <c r="E42" s="2" t="s">
        <v>34</v>
      </c>
      <c r="F42" s="2" t="n">
        <v>49</v>
      </c>
      <c r="G42" s="3" t="n">
        <v>25000</v>
      </c>
      <c r="H42" s="3" t="n">
        <v>1225000</v>
      </c>
      <c r="I42" s="4" t="n">
        <v>5</v>
      </c>
      <c r="J42" s="3" t="n">
        <v>61250</v>
      </c>
      <c r="K42" s="3" t="n">
        <v>1163750</v>
      </c>
      <c r="L42" s="3" t="n">
        <v>711007.15</v>
      </c>
      <c r="M42" s="3" t="n">
        <v>452742.85</v>
      </c>
      <c r="N42" s="5" t="n">
        <v>0.389037891307129</v>
      </c>
      <c r="O42" s="6" t="n">
        <f aca="true">NOW()</f>
        <v>46192.1876784838</v>
      </c>
    </row>
    <row r="43" customFormat="false" ht="15" hidden="false" customHeight="false" outlineLevel="0" collapsed="false">
      <c r="A43" s="7" t="s">
        <v>97</v>
      </c>
      <c r="B43" s="7" t="s">
        <v>21</v>
      </c>
      <c r="C43" s="7" t="s">
        <v>45</v>
      </c>
      <c r="D43" s="7" t="s">
        <v>26</v>
      </c>
      <c r="E43" s="7" t="s">
        <v>38</v>
      </c>
      <c r="F43" s="7" t="n">
        <v>26</v>
      </c>
      <c r="G43" s="8" t="n">
        <v>15000</v>
      </c>
      <c r="H43" s="8" t="n">
        <v>390000</v>
      </c>
      <c r="I43" s="9" t="n">
        <v>5</v>
      </c>
      <c r="J43" s="8" t="n">
        <v>19500</v>
      </c>
      <c r="K43" s="8" t="n">
        <v>370500</v>
      </c>
      <c r="L43" s="8" t="n">
        <v>224836.43</v>
      </c>
      <c r="M43" s="8" t="n">
        <v>145663.57</v>
      </c>
      <c r="N43" s="10" t="n">
        <v>0.393154032153463</v>
      </c>
      <c r="O43" s="11" t="n">
        <f aca="true">NOW()</f>
        <v>46192.1876784838</v>
      </c>
    </row>
    <row r="44" customFormat="false" ht="15" hidden="false" customHeight="false" outlineLevel="0" collapsed="false">
      <c r="A44" s="2" t="s">
        <v>98</v>
      </c>
      <c r="B44" s="2" t="s">
        <v>25</v>
      </c>
      <c r="C44" s="2" t="s">
        <v>45</v>
      </c>
      <c r="D44" s="2" t="s">
        <v>37</v>
      </c>
      <c r="E44" s="2" t="s">
        <v>42</v>
      </c>
      <c r="F44" s="2" t="n">
        <v>30</v>
      </c>
      <c r="G44" s="3" t="n">
        <v>8000</v>
      </c>
      <c r="H44" s="3" t="n">
        <v>240000</v>
      </c>
      <c r="I44" s="4" t="n">
        <v>15</v>
      </c>
      <c r="J44" s="3" t="n">
        <v>36000</v>
      </c>
      <c r="K44" s="3" t="n">
        <v>204000</v>
      </c>
      <c r="L44" s="3" t="n">
        <v>133515.7</v>
      </c>
      <c r="M44" s="3" t="n">
        <v>70484.3</v>
      </c>
      <c r="N44" s="5" t="n">
        <v>0.345511274459976</v>
      </c>
      <c r="O44" s="6" t="n">
        <f aca="true">NOW()</f>
        <v>46192.1876784838</v>
      </c>
    </row>
    <row r="45" customFormat="false" ht="15" hidden="false" customHeight="false" outlineLevel="0" collapsed="false">
      <c r="A45" s="7" t="s">
        <v>99</v>
      </c>
      <c r="B45" s="7" t="s">
        <v>29</v>
      </c>
      <c r="C45" s="7" t="s">
        <v>45</v>
      </c>
      <c r="D45" s="7" t="s">
        <v>26</v>
      </c>
      <c r="E45" s="7" t="s">
        <v>46</v>
      </c>
      <c r="F45" s="7" t="n">
        <v>13</v>
      </c>
      <c r="G45" s="8" t="n">
        <v>8000</v>
      </c>
      <c r="H45" s="8" t="n">
        <v>104000</v>
      </c>
      <c r="I45" s="9" t="n">
        <v>5</v>
      </c>
      <c r="J45" s="8" t="n">
        <v>5200</v>
      </c>
      <c r="K45" s="8" t="n">
        <v>98800</v>
      </c>
      <c r="L45" s="8" t="n">
        <v>68696.27</v>
      </c>
      <c r="M45" s="8" t="n">
        <v>30103.73</v>
      </c>
      <c r="N45" s="10" t="n">
        <v>0.304693595254626</v>
      </c>
      <c r="O45" s="11" t="n">
        <f aca="true">NOW()</f>
        <v>46192.1876784838</v>
      </c>
    </row>
    <row r="46" customFormat="false" ht="15" hidden="false" customHeight="false" outlineLevel="0" collapsed="false">
      <c r="A46" s="2" t="s">
        <v>100</v>
      </c>
      <c r="B46" s="2" t="s">
        <v>33</v>
      </c>
      <c r="C46" s="2" t="s">
        <v>17</v>
      </c>
      <c r="D46" s="2" t="s">
        <v>37</v>
      </c>
      <c r="E46" s="2" t="s">
        <v>49</v>
      </c>
      <c r="F46" s="2" t="n">
        <v>4</v>
      </c>
      <c r="G46" s="3" t="n">
        <v>15000</v>
      </c>
      <c r="H46" s="3" t="n">
        <v>60000</v>
      </c>
      <c r="I46" s="4" t="n">
        <v>20</v>
      </c>
      <c r="J46" s="3" t="n">
        <v>12000</v>
      </c>
      <c r="K46" s="3" t="n">
        <v>48000</v>
      </c>
      <c r="L46" s="3" t="n">
        <v>29832.88</v>
      </c>
      <c r="M46" s="3" t="n">
        <v>18167.12</v>
      </c>
      <c r="N46" s="5" t="n">
        <v>0.37848172243366</v>
      </c>
      <c r="O46" s="6" t="n">
        <f aca="true">NOW()</f>
        <v>46192.1876784838</v>
      </c>
    </row>
    <row r="47" customFormat="false" ht="15" hidden="false" customHeight="false" outlineLevel="0" collapsed="false">
      <c r="A47" s="7" t="s">
        <v>101</v>
      </c>
      <c r="B47" s="7" t="s">
        <v>36</v>
      </c>
      <c r="C47" s="7" t="s">
        <v>30</v>
      </c>
      <c r="D47" s="7" t="s">
        <v>18</v>
      </c>
      <c r="E47" s="7" t="s">
        <v>52</v>
      </c>
      <c r="F47" s="7" t="n">
        <v>33</v>
      </c>
      <c r="G47" s="8" t="n">
        <v>15000</v>
      </c>
      <c r="H47" s="8" t="n">
        <v>495000</v>
      </c>
      <c r="I47" s="9" t="n">
        <v>5</v>
      </c>
      <c r="J47" s="8" t="n">
        <v>24750</v>
      </c>
      <c r="K47" s="8" t="n">
        <v>470250</v>
      </c>
      <c r="L47" s="8" t="n">
        <v>263470.82</v>
      </c>
      <c r="M47" s="8" t="n">
        <v>206779.18</v>
      </c>
      <c r="N47" s="10" t="n">
        <v>0.439721800094431</v>
      </c>
      <c r="O47" s="11" t="n">
        <f aca="true">NOW()</f>
        <v>46192.1876784838</v>
      </c>
    </row>
    <row r="48" customFormat="false" ht="15" hidden="false" customHeight="false" outlineLevel="0" collapsed="false">
      <c r="A48" s="2" t="s">
        <v>102</v>
      </c>
      <c r="B48" s="2" t="s">
        <v>40</v>
      </c>
      <c r="C48" s="2" t="s">
        <v>17</v>
      </c>
      <c r="D48" s="2" t="s">
        <v>26</v>
      </c>
      <c r="E48" s="2" t="s">
        <v>55</v>
      </c>
      <c r="F48" s="2" t="n">
        <v>26</v>
      </c>
      <c r="G48" s="3" t="n">
        <v>15000</v>
      </c>
      <c r="H48" s="3" t="n">
        <v>390000</v>
      </c>
      <c r="I48" s="4" t="n">
        <v>20</v>
      </c>
      <c r="J48" s="3" t="n">
        <v>78000</v>
      </c>
      <c r="K48" s="3" t="n">
        <v>312000</v>
      </c>
      <c r="L48" s="3" t="n">
        <v>183122.88</v>
      </c>
      <c r="M48" s="3" t="n">
        <v>128877.12</v>
      </c>
      <c r="N48" s="5" t="n">
        <v>0.413067697831706</v>
      </c>
      <c r="O48" s="6" t="n">
        <f aca="true">NOW()</f>
        <v>46192.1876784838</v>
      </c>
    </row>
    <row r="49" customFormat="false" ht="15" hidden="false" customHeight="false" outlineLevel="0" collapsed="false">
      <c r="A49" s="7" t="s">
        <v>103</v>
      </c>
      <c r="B49" s="7" t="s">
        <v>44</v>
      </c>
      <c r="C49" s="7" t="s">
        <v>17</v>
      </c>
      <c r="D49" s="7" t="s">
        <v>22</v>
      </c>
      <c r="E49" s="7" t="s">
        <v>58</v>
      </c>
      <c r="F49" s="7" t="n">
        <v>6</v>
      </c>
      <c r="G49" s="8" t="n">
        <v>2000</v>
      </c>
      <c r="H49" s="8" t="n">
        <v>12000</v>
      </c>
      <c r="I49" s="9" t="n">
        <v>20</v>
      </c>
      <c r="J49" s="8" t="n">
        <v>2400</v>
      </c>
      <c r="K49" s="8" t="n">
        <v>9600</v>
      </c>
      <c r="L49" s="8" t="n">
        <v>6093.93</v>
      </c>
      <c r="M49" s="8" t="n">
        <v>3506.07</v>
      </c>
      <c r="N49" s="10" t="n">
        <v>0.365215961423387</v>
      </c>
      <c r="O49" s="11" t="n">
        <f aca="true">NOW()</f>
        <v>46192.1876784838</v>
      </c>
    </row>
    <row r="50" customFormat="false" ht="15" hidden="false" customHeight="false" outlineLevel="0" collapsed="false">
      <c r="A50" s="2" t="s">
        <v>104</v>
      </c>
      <c r="B50" s="2" t="s">
        <v>48</v>
      </c>
      <c r="C50" s="2" t="s">
        <v>41</v>
      </c>
      <c r="D50" s="2" t="s">
        <v>37</v>
      </c>
      <c r="E50" s="2" t="s">
        <v>19</v>
      </c>
      <c r="F50" s="2" t="n">
        <v>14</v>
      </c>
      <c r="G50" s="3" t="n">
        <v>8000</v>
      </c>
      <c r="H50" s="3" t="n">
        <v>112000</v>
      </c>
      <c r="I50" s="4" t="n">
        <v>5</v>
      </c>
      <c r="J50" s="3" t="n">
        <v>5600</v>
      </c>
      <c r="K50" s="3" t="n">
        <v>106400</v>
      </c>
      <c r="L50" s="3" t="n">
        <v>62759.21</v>
      </c>
      <c r="M50" s="3" t="n">
        <v>43640.79</v>
      </c>
      <c r="N50" s="5" t="n">
        <v>0.410157823120297</v>
      </c>
      <c r="O50" s="6" t="n">
        <f aca="true">NOW()</f>
        <v>46192.1876784838</v>
      </c>
    </row>
    <row r="51" customFormat="false" ht="15" hidden="false" customHeight="false" outlineLevel="0" collapsed="false">
      <c r="A51" s="7" t="s">
        <v>105</v>
      </c>
      <c r="B51" s="7" t="s">
        <v>51</v>
      </c>
      <c r="C51" s="7" t="s">
        <v>30</v>
      </c>
      <c r="D51" s="7" t="s">
        <v>37</v>
      </c>
      <c r="E51" s="7" t="s">
        <v>23</v>
      </c>
      <c r="F51" s="7" t="n">
        <v>30</v>
      </c>
      <c r="G51" s="8" t="n">
        <v>8000</v>
      </c>
      <c r="H51" s="8" t="n">
        <v>240000</v>
      </c>
      <c r="I51" s="9" t="n">
        <v>0</v>
      </c>
      <c r="J51" s="8" t="n">
        <v>0</v>
      </c>
      <c r="K51" s="8" t="n">
        <v>240000</v>
      </c>
      <c r="L51" s="8" t="n">
        <v>132335.36</v>
      </c>
      <c r="M51" s="8" t="n">
        <v>107664.64</v>
      </c>
      <c r="N51" s="10" t="n">
        <v>0.448602681467363</v>
      </c>
      <c r="O51" s="11" t="n">
        <f aca="true">NOW()</f>
        <v>46192.1876784838</v>
      </c>
    </row>
    <row r="52" customFormat="false" ht="15" hidden="false" customHeight="false" outlineLevel="0" collapsed="false">
      <c r="A52" s="2" t="s">
        <v>106</v>
      </c>
      <c r="B52" s="2" t="s">
        <v>54</v>
      </c>
      <c r="C52" s="2" t="s">
        <v>17</v>
      </c>
      <c r="D52" s="2" t="s">
        <v>18</v>
      </c>
      <c r="E52" s="2" t="s">
        <v>27</v>
      </c>
      <c r="F52" s="2" t="n">
        <v>35</v>
      </c>
      <c r="G52" s="3" t="n">
        <v>25000</v>
      </c>
      <c r="H52" s="3" t="n">
        <v>875000</v>
      </c>
      <c r="I52" s="4" t="n">
        <v>20</v>
      </c>
      <c r="J52" s="3" t="n">
        <v>175000</v>
      </c>
      <c r="K52" s="3" t="n">
        <v>700000</v>
      </c>
      <c r="L52" s="3" t="n">
        <v>412846.04</v>
      </c>
      <c r="M52" s="3" t="n">
        <v>287153.96</v>
      </c>
      <c r="N52" s="5" t="n">
        <v>0.41021993778744</v>
      </c>
      <c r="O52" s="6" t="n">
        <f aca="true">NOW()</f>
        <v>46192.1876784838</v>
      </c>
    </row>
    <row r="53" customFormat="false" ht="15" hidden="false" customHeight="false" outlineLevel="0" collapsed="false">
      <c r="A53" s="7" t="s">
        <v>107</v>
      </c>
      <c r="B53" s="7" t="s">
        <v>57</v>
      </c>
      <c r="C53" s="7" t="s">
        <v>41</v>
      </c>
      <c r="D53" s="7" t="s">
        <v>18</v>
      </c>
      <c r="E53" s="7" t="s">
        <v>31</v>
      </c>
      <c r="F53" s="7" t="n">
        <v>16</v>
      </c>
      <c r="G53" s="8" t="n">
        <v>8000</v>
      </c>
      <c r="H53" s="8" t="n">
        <v>128000</v>
      </c>
      <c r="I53" s="9" t="n">
        <v>10</v>
      </c>
      <c r="J53" s="8" t="n">
        <v>12800</v>
      </c>
      <c r="K53" s="8" t="n">
        <v>115200</v>
      </c>
      <c r="L53" s="8" t="n">
        <v>66085.87</v>
      </c>
      <c r="M53" s="8" t="n">
        <v>49114.13</v>
      </c>
      <c r="N53" s="10" t="n">
        <v>0.426337975146415</v>
      </c>
      <c r="O53" s="11" t="n">
        <f aca="true">NOW()</f>
        <v>46192.1876784838</v>
      </c>
    </row>
    <row r="54" customFormat="false" ht="15" hidden="false" customHeight="false" outlineLevel="0" collapsed="false">
      <c r="A54" s="2" t="s">
        <v>108</v>
      </c>
      <c r="B54" s="2" t="s">
        <v>60</v>
      </c>
      <c r="C54" s="2" t="s">
        <v>41</v>
      </c>
      <c r="D54" s="2" t="s">
        <v>22</v>
      </c>
      <c r="E54" s="2" t="s">
        <v>34</v>
      </c>
      <c r="F54" s="2" t="n">
        <v>42</v>
      </c>
      <c r="G54" s="3" t="n">
        <v>12000</v>
      </c>
      <c r="H54" s="3" t="n">
        <v>504000</v>
      </c>
      <c r="I54" s="4" t="n">
        <v>0</v>
      </c>
      <c r="J54" s="3" t="n">
        <v>0</v>
      </c>
      <c r="K54" s="3" t="n">
        <v>504000</v>
      </c>
      <c r="L54" s="3" t="n">
        <v>327690.46</v>
      </c>
      <c r="M54" s="3" t="n">
        <v>176309.54</v>
      </c>
      <c r="N54" s="5" t="n">
        <v>0.349820519443112</v>
      </c>
      <c r="O54" s="6" t="n">
        <f aca="true">NOW()</f>
        <v>46192.1876784838</v>
      </c>
    </row>
    <row r="55" customFormat="false" ht="15" hidden="false" customHeight="false" outlineLevel="0" collapsed="false">
      <c r="A55" s="7" t="s">
        <v>109</v>
      </c>
      <c r="B55" s="7" t="s">
        <v>63</v>
      </c>
      <c r="C55" s="7" t="s">
        <v>41</v>
      </c>
      <c r="D55" s="7" t="s">
        <v>18</v>
      </c>
      <c r="E55" s="7" t="s">
        <v>38</v>
      </c>
      <c r="F55" s="7" t="n">
        <v>9</v>
      </c>
      <c r="G55" s="8" t="n">
        <v>8000</v>
      </c>
      <c r="H55" s="8" t="n">
        <v>72000</v>
      </c>
      <c r="I55" s="9" t="n">
        <v>0</v>
      </c>
      <c r="J55" s="8" t="n">
        <v>0</v>
      </c>
      <c r="K55" s="8" t="n">
        <v>72000</v>
      </c>
      <c r="L55" s="8" t="n">
        <v>49208.9</v>
      </c>
      <c r="M55" s="8" t="n">
        <v>22791.1</v>
      </c>
      <c r="N55" s="10" t="n">
        <v>0.316543093949144</v>
      </c>
      <c r="O55" s="11" t="n">
        <f aca="true">NOW()</f>
        <v>46192.1876784838</v>
      </c>
    </row>
    <row r="56" customFormat="false" ht="15" hidden="false" customHeight="false" outlineLevel="0" collapsed="false">
      <c r="A56" s="2" t="s">
        <v>110</v>
      </c>
      <c r="B56" s="2" t="s">
        <v>65</v>
      </c>
      <c r="C56" s="2" t="s">
        <v>30</v>
      </c>
      <c r="D56" s="2" t="s">
        <v>37</v>
      </c>
      <c r="E56" s="2" t="s">
        <v>42</v>
      </c>
      <c r="F56" s="2" t="n">
        <v>19</v>
      </c>
      <c r="G56" s="3" t="n">
        <v>12000</v>
      </c>
      <c r="H56" s="3" t="n">
        <v>228000</v>
      </c>
      <c r="I56" s="4" t="n">
        <v>5</v>
      </c>
      <c r="J56" s="3" t="n">
        <v>11400</v>
      </c>
      <c r="K56" s="3" t="n">
        <v>216600</v>
      </c>
      <c r="L56" s="3" t="n">
        <v>142445.22</v>
      </c>
      <c r="M56" s="3" t="n">
        <v>74154.78</v>
      </c>
      <c r="N56" s="5" t="n">
        <v>0.34235817192918</v>
      </c>
      <c r="O56" s="6" t="n">
        <f aca="true">NOW()</f>
        <v>46192.1876784838</v>
      </c>
    </row>
    <row r="57" customFormat="false" ht="15" hidden="false" customHeight="false" outlineLevel="0" collapsed="false">
      <c r="A57" s="7" t="s">
        <v>111</v>
      </c>
      <c r="B57" s="7" t="s">
        <v>67</v>
      </c>
      <c r="C57" s="7" t="s">
        <v>30</v>
      </c>
      <c r="D57" s="7" t="s">
        <v>37</v>
      </c>
      <c r="E57" s="7" t="s">
        <v>46</v>
      </c>
      <c r="F57" s="7" t="n">
        <v>33</v>
      </c>
      <c r="G57" s="8" t="n">
        <v>2000</v>
      </c>
      <c r="H57" s="8" t="n">
        <v>66000</v>
      </c>
      <c r="I57" s="9" t="n">
        <v>10</v>
      </c>
      <c r="J57" s="8" t="n">
        <v>6600</v>
      </c>
      <c r="K57" s="8" t="n">
        <v>59400</v>
      </c>
      <c r="L57" s="8" t="n">
        <v>40736.55</v>
      </c>
      <c r="M57" s="8" t="n">
        <v>18663.45</v>
      </c>
      <c r="N57" s="10" t="n">
        <v>0.314199526338102</v>
      </c>
      <c r="O57" s="11" t="n">
        <f aca="true">NOW()</f>
        <v>46192.1876784838</v>
      </c>
    </row>
    <row r="58" customFormat="false" ht="15" hidden="false" customHeight="false" outlineLevel="0" collapsed="false">
      <c r="A58" s="2" t="s">
        <v>112</v>
      </c>
      <c r="B58" s="2" t="s">
        <v>69</v>
      </c>
      <c r="C58" s="2" t="s">
        <v>17</v>
      </c>
      <c r="D58" s="2" t="s">
        <v>18</v>
      </c>
      <c r="E58" s="2" t="s">
        <v>49</v>
      </c>
      <c r="F58" s="2" t="n">
        <v>41</v>
      </c>
      <c r="G58" s="3" t="n">
        <v>2000</v>
      </c>
      <c r="H58" s="3" t="n">
        <v>82000</v>
      </c>
      <c r="I58" s="4" t="n">
        <v>10</v>
      </c>
      <c r="J58" s="3" t="n">
        <v>8200</v>
      </c>
      <c r="K58" s="3" t="n">
        <v>73800</v>
      </c>
      <c r="L58" s="3" t="n">
        <v>41078.04</v>
      </c>
      <c r="M58" s="3" t="n">
        <v>32721.96</v>
      </c>
      <c r="N58" s="5" t="n">
        <v>0.443386985730143</v>
      </c>
      <c r="O58" s="6" t="n">
        <f aca="true">NOW()</f>
        <v>46192.1876784838</v>
      </c>
    </row>
    <row r="59" customFormat="false" ht="15" hidden="false" customHeight="false" outlineLevel="0" collapsed="false">
      <c r="A59" s="7" t="s">
        <v>113</v>
      </c>
      <c r="B59" s="7" t="s">
        <v>71</v>
      </c>
      <c r="C59" s="7" t="s">
        <v>41</v>
      </c>
      <c r="D59" s="7" t="s">
        <v>26</v>
      </c>
      <c r="E59" s="7" t="s">
        <v>52</v>
      </c>
      <c r="F59" s="7" t="n">
        <v>41</v>
      </c>
      <c r="G59" s="8" t="n">
        <v>8000</v>
      </c>
      <c r="H59" s="8" t="n">
        <v>328000</v>
      </c>
      <c r="I59" s="9" t="n">
        <v>5</v>
      </c>
      <c r="J59" s="8" t="n">
        <v>16400</v>
      </c>
      <c r="K59" s="8" t="n">
        <v>311600</v>
      </c>
      <c r="L59" s="8" t="n">
        <v>206025.13</v>
      </c>
      <c r="M59" s="8" t="n">
        <v>105574.87</v>
      </c>
      <c r="N59" s="10" t="n">
        <v>0.33881536374781</v>
      </c>
      <c r="O59" s="11" t="n">
        <f aca="true">NOW()</f>
        <v>46192.1876784838</v>
      </c>
    </row>
    <row r="60" customFormat="false" ht="15" hidden="false" customHeight="false" outlineLevel="0" collapsed="false">
      <c r="A60" s="2" t="s">
        <v>114</v>
      </c>
      <c r="B60" s="2" t="s">
        <v>73</v>
      </c>
      <c r="C60" s="2" t="s">
        <v>45</v>
      </c>
      <c r="D60" s="2" t="s">
        <v>22</v>
      </c>
      <c r="E60" s="2" t="s">
        <v>55</v>
      </c>
      <c r="F60" s="2" t="n">
        <v>1</v>
      </c>
      <c r="G60" s="3" t="n">
        <v>15000</v>
      </c>
      <c r="H60" s="3" t="n">
        <v>15000</v>
      </c>
      <c r="I60" s="4" t="n">
        <v>0</v>
      </c>
      <c r="J60" s="3" t="n">
        <v>0</v>
      </c>
      <c r="K60" s="3" t="n">
        <v>15000</v>
      </c>
      <c r="L60" s="3" t="n">
        <v>10376.36</v>
      </c>
      <c r="M60" s="3" t="n">
        <v>4623.64</v>
      </c>
      <c r="N60" s="5" t="n">
        <v>0.308242359143004</v>
      </c>
      <c r="O60" s="6" t="n">
        <f aca="true">NOW()</f>
        <v>46192.1876784838</v>
      </c>
    </row>
    <row r="61" customFormat="false" ht="15" hidden="false" customHeight="false" outlineLevel="0" collapsed="false">
      <c r="A61" s="7" t="s">
        <v>115</v>
      </c>
      <c r="B61" s="7" t="s">
        <v>75</v>
      </c>
      <c r="C61" s="7" t="s">
        <v>30</v>
      </c>
      <c r="D61" s="7" t="s">
        <v>22</v>
      </c>
      <c r="E61" s="7" t="s">
        <v>58</v>
      </c>
      <c r="F61" s="7" t="n">
        <v>3</v>
      </c>
      <c r="G61" s="8" t="n">
        <v>8000</v>
      </c>
      <c r="H61" s="8" t="n">
        <v>24000</v>
      </c>
      <c r="I61" s="9" t="n">
        <v>20</v>
      </c>
      <c r="J61" s="8" t="n">
        <v>4800</v>
      </c>
      <c r="K61" s="8" t="n">
        <v>19200</v>
      </c>
      <c r="L61" s="8" t="n">
        <v>12151.27</v>
      </c>
      <c r="M61" s="8" t="n">
        <v>7048.73</v>
      </c>
      <c r="N61" s="10" t="n">
        <v>0.36712123548825</v>
      </c>
      <c r="O61" s="11" t="n">
        <f aca="true">NOW()</f>
        <v>46192.1876784838</v>
      </c>
    </row>
    <row r="62" customFormat="false" ht="15" hidden="false" customHeight="false" outlineLevel="0" collapsed="false">
      <c r="A62" s="2" t="s">
        <v>116</v>
      </c>
      <c r="B62" s="2" t="s">
        <v>16</v>
      </c>
      <c r="C62" s="2" t="s">
        <v>45</v>
      </c>
      <c r="D62" s="2" t="s">
        <v>26</v>
      </c>
      <c r="E62" s="2" t="s">
        <v>19</v>
      </c>
      <c r="F62" s="2" t="n">
        <v>3</v>
      </c>
      <c r="G62" s="3" t="n">
        <v>8000</v>
      </c>
      <c r="H62" s="3" t="n">
        <v>24000</v>
      </c>
      <c r="I62" s="4" t="n">
        <v>10</v>
      </c>
      <c r="J62" s="3" t="n">
        <v>2400</v>
      </c>
      <c r="K62" s="3" t="n">
        <v>21600</v>
      </c>
      <c r="L62" s="3" t="n">
        <v>14792.7</v>
      </c>
      <c r="M62" s="3" t="n">
        <v>6807.3</v>
      </c>
      <c r="N62" s="5" t="n">
        <v>0.315152776688612</v>
      </c>
      <c r="O62" s="6" t="n">
        <f aca="true">NOW()</f>
        <v>46192.1876784838</v>
      </c>
    </row>
    <row r="63" customFormat="false" ht="15" hidden="false" customHeight="false" outlineLevel="0" collapsed="false">
      <c r="A63" s="7" t="s">
        <v>117</v>
      </c>
      <c r="B63" s="7" t="s">
        <v>21</v>
      </c>
      <c r="C63" s="7" t="s">
        <v>17</v>
      </c>
      <c r="D63" s="7" t="s">
        <v>37</v>
      </c>
      <c r="E63" s="7" t="s">
        <v>23</v>
      </c>
      <c r="F63" s="7" t="n">
        <v>14</v>
      </c>
      <c r="G63" s="8" t="n">
        <v>25000</v>
      </c>
      <c r="H63" s="8" t="n">
        <v>350000</v>
      </c>
      <c r="I63" s="9" t="n">
        <v>0</v>
      </c>
      <c r="J63" s="8" t="n">
        <v>0</v>
      </c>
      <c r="K63" s="8" t="n">
        <v>350000</v>
      </c>
      <c r="L63" s="8" t="n">
        <v>211068.13</v>
      </c>
      <c r="M63" s="8" t="n">
        <v>138931.87</v>
      </c>
      <c r="N63" s="10" t="n">
        <v>0.396948204807807</v>
      </c>
      <c r="O63" s="11" t="n">
        <f aca="true">NOW()</f>
        <v>46192.1876784839</v>
      </c>
    </row>
    <row r="64" customFormat="false" ht="15" hidden="false" customHeight="false" outlineLevel="0" collapsed="false">
      <c r="A64" s="2" t="s">
        <v>118</v>
      </c>
      <c r="B64" s="2" t="s">
        <v>25</v>
      </c>
      <c r="C64" s="2" t="s">
        <v>45</v>
      </c>
      <c r="D64" s="2" t="s">
        <v>22</v>
      </c>
      <c r="E64" s="2" t="s">
        <v>27</v>
      </c>
      <c r="F64" s="2" t="n">
        <v>48</v>
      </c>
      <c r="G64" s="3" t="n">
        <v>25000</v>
      </c>
      <c r="H64" s="3" t="n">
        <v>1200000</v>
      </c>
      <c r="I64" s="4" t="n">
        <v>5</v>
      </c>
      <c r="J64" s="3" t="n">
        <v>60000</v>
      </c>
      <c r="K64" s="3" t="n">
        <v>1140000</v>
      </c>
      <c r="L64" s="3" t="n">
        <v>774847.57</v>
      </c>
      <c r="M64" s="3" t="n">
        <v>365152.43</v>
      </c>
      <c r="N64" s="5" t="n">
        <v>0.320309145567005</v>
      </c>
      <c r="O64" s="6" t="n">
        <f aca="true">NOW()</f>
        <v>46192.1876784839</v>
      </c>
    </row>
    <row r="65" customFormat="false" ht="15" hidden="false" customHeight="false" outlineLevel="0" collapsed="false">
      <c r="A65" s="7" t="s">
        <v>119</v>
      </c>
      <c r="B65" s="7" t="s">
        <v>29</v>
      </c>
      <c r="C65" s="7" t="s">
        <v>30</v>
      </c>
      <c r="D65" s="7" t="s">
        <v>61</v>
      </c>
      <c r="E65" s="7" t="s">
        <v>31</v>
      </c>
      <c r="F65" s="7" t="n">
        <v>2</v>
      </c>
      <c r="G65" s="8" t="n">
        <v>25000</v>
      </c>
      <c r="H65" s="8" t="n">
        <v>50000</v>
      </c>
      <c r="I65" s="9" t="n">
        <v>10</v>
      </c>
      <c r="J65" s="8" t="n">
        <v>5000</v>
      </c>
      <c r="K65" s="8" t="n">
        <v>45000</v>
      </c>
      <c r="L65" s="8" t="n">
        <v>30031.11</v>
      </c>
      <c r="M65" s="8" t="n">
        <v>14968.89</v>
      </c>
      <c r="N65" s="10" t="n">
        <v>0.332642025577855</v>
      </c>
      <c r="O65" s="11" t="n">
        <f aca="true">NOW()</f>
        <v>46192.1876784839</v>
      </c>
    </row>
    <row r="66" customFormat="false" ht="15" hidden="false" customHeight="false" outlineLevel="0" collapsed="false">
      <c r="A66" s="2" t="s">
        <v>120</v>
      </c>
      <c r="B66" s="2" t="s">
        <v>33</v>
      </c>
      <c r="C66" s="2" t="s">
        <v>45</v>
      </c>
      <c r="D66" s="2" t="s">
        <v>26</v>
      </c>
      <c r="E66" s="2" t="s">
        <v>34</v>
      </c>
      <c r="F66" s="2" t="n">
        <v>18</v>
      </c>
      <c r="G66" s="3" t="n">
        <v>25000</v>
      </c>
      <c r="H66" s="3" t="n">
        <v>450000</v>
      </c>
      <c r="I66" s="4" t="n">
        <v>0</v>
      </c>
      <c r="J66" s="3" t="n">
        <v>0</v>
      </c>
      <c r="K66" s="3" t="n">
        <v>450000</v>
      </c>
      <c r="L66" s="3" t="n">
        <v>273321.57</v>
      </c>
      <c r="M66" s="3" t="n">
        <v>176678.43</v>
      </c>
      <c r="N66" s="5" t="n">
        <v>0.39261874161046</v>
      </c>
      <c r="O66" s="6" t="n">
        <f aca="true">NOW()</f>
        <v>46192.1876784839</v>
      </c>
    </row>
    <row r="67" customFormat="false" ht="15" hidden="false" customHeight="false" outlineLevel="0" collapsed="false">
      <c r="A67" s="7" t="s">
        <v>121</v>
      </c>
      <c r="B67" s="7" t="s">
        <v>36</v>
      </c>
      <c r="C67" s="7" t="s">
        <v>17</v>
      </c>
      <c r="D67" s="7" t="s">
        <v>61</v>
      </c>
      <c r="E67" s="7" t="s">
        <v>38</v>
      </c>
      <c r="F67" s="7" t="n">
        <v>15</v>
      </c>
      <c r="G67" s="8" t="n">
        <v>25000</v>
      </c>
      <c r="H67" s="8" t="n">
        <v>375000</v>
      </c>
      <c r="I67" s="9" t="n">
        <v>15</v>
      </c>
      <c r="J67" s="8" t="n">
        <v>56250</v>
      </c>
      <c r="K67" s="8" t="n">
        <v>318750</v>
      </c>
      <c r="L67" s="8" t="n">
        <v>192030.54</v>
      </c>
      <c r="M67" s="8" t="n">
        <v>126719.46</v>
      </c>
      <c r="N67" s="10" t="n">
        <v>0.397551236333112</v>
      </c>
      <c r="O67" s="11" t="n">
        <f aca="true">NOW()</f>
        <v>46192.1876784839</v>
      </c>
    </row>
    <row r="68" customFormat="false" ht="15" hidden="false" customHeight="false" outlineLevel="0" collapsed="false">
      <c r="A68" s="2" t="s">
        <v>122</v>
      </c>
      <c r="B68" s="2" t="s">
        <v>40</v>
      </c>
      <c r="C68" s="2" t="s">
        <v>30</v>
      </c>
      <c r="D68" s="2" t="s">
        <v>26</v>
      </c>
      <c r="E68" s="2" t="s">
        <v>42</v>
      </c>
      <c r="F68" s="2" t="n">
        <v>2</v>
      </c>
      <c r="G68" s="3" t="n">
        <v>25000</v>
      </c>
      <c r="H68" s="3" t="n">
        <v>50000</v>
      </c>
      <c r="I68" s="4" t="n">
        <v>15</v>
      </c>
      <c r="J68" s="3" t="n">
        <v>7500</v>
      </c>
      <c r="K68" s="3" t="n">
        <v>42500</v>
      </c>
      <c r="L68" s="3" t="n">
        <v>25467.67</v>
      </c>
      <c r="M68" s="3" t="n">
        <v>17032.33</v>
      </c>
      <c r="N68" s="5" t="n">
        <v>0.400760707320344</v>
      </c>
      <c r="O68" s="6" t="n">
        <f aca="true">NOW()</f>
        <v>46192.1876784839</v>
      </c>
    </row>
    <row r="69" customFormat="false" ht="15" hidden="false" customHeight="false" outlineLevel="0" collapsed="false">
      <c r="A69" s="7" t="s">
        <v>123</v>
      </c>
      <c r="B69" s="7" t="s">
        <v>44</v>
      </c>
      <c r="C69" s="7" t="s">
        <v>17</v>
      </c>
      <c r="D69" s="7" t="s">
        <v>37</v>
      </c>
      <c r="E69" s="7" t="s">
        <v>46</v>
      </c>
      <c r="F69" s="7" t="n">
        <v>23</v>
      </c>
      <c r="G69" s="8" t="n">
        <v>12000</v>
      </c>
      <c r="H69" s="8" t="n">
        <v>276000</v>
      </c>
      <c r="I69" s="9" t="n">
        <v>15</v>
      </c>
      <c r="J69" s="8" t="n">
        <v>41400</v>
      </c>
      <c r="K69" s="8" t="n">
        <v>234600</v>
      </c>
      <c r="L69" s="8" t="n">
        <v>152942.24</v>
      </c>
      <c r="M69" s="8" t="n">
        <v>81657.76</v>
      </c>
      <c r="N69" s="10" t="n">
        <v>0.348072282245961</v>
      </c>
      <c r="O69" s="11" t="n">
        <f aca="true">NOW()</f>
        <v>46192.1876784839</v>
      </c>
    </row>
    <row r="70" customFormat="false" ht="15" hidden="false" customHeight="false" outlineLevel="0" collapsed="false">
      <c r="A70" s="2" t="s">
        <v>124</v>
      </c>
      <c r="B70" s="2" t="s">
        <v>48</v>
      </c>
      <c r="C70" s="2" t="s">
        <v>41</v>
      </c>
      <c r="D70" s="2" t="s">
        <v>18</v>
      </c>
      <c r="E70" s="2" t="s">
        <v>49</v>
      </c>
      <c r="F70" s="2" t="n">
        <v>8</v>
      </c>
      <c r="G70" s="3" t="n">
        <v>8000</v>
      </c>
      <c r="H70" s="3" t="n">
        <v>64000</v>
      </c>
      <c r="I70" s="4" t="n">
        <v>5</v>
      </c>
      <c r="J70" s="3" t="n">
        <v>3200</v>
      </c>
      <c r="K70" s="3" t="n">
        <v>60800</v>
      </c>
      <c r="L70" s="3" t="n">
        <v>38734.98</v>
      </c>
      <c r="M70" s="3" t="n">
        <v>22065.02</v>
      </c>
      <c r="N70" s="5" t="n">
        <v>0.362911539939194</v>
      </c>
      <c r="O70" s="6" t="n">
        <f aca="true">NOW()</f>
        <v>46192.1876784839</v>
      </c>
    </row>
    <row r="71" customFormat="false" ht="15" hidden="false" customHeight="false" outlineLevel="0" collapsed="false">
      <c r="A71" s="7" t="s">
        <v>125</v>
      </c>
      <c r="B71" s="7" t="s">
        <v>51</v>
      </c>
      <c r="C71" s="7" t="s">
        <v>41</v>
      </c>
      <c r="D71" s="7" t="s">
        <v>18</v>
      </c>
      <c r="E71" s="7" t="s">
        <v>52</v>
      </c>
      <c r="F71" s="7" t="n">
        <v>7</v>
      </c>
      <c r="G71" s="8" t="n">
        <v>12000</v>
      </c>
      <c r="H71" s="8" t="n">
        <v>84000</v>
      </c>
      <c r="I71" s="9" t="n">
        <v>15</v>
      </c>
      <c r="J71" s="8" t="n">
        <v>12600</v>
      </c>
      <c r="K71" s="8" t="n">
        <v>71400</v>
      </c>
      <c r="L71" s="8" t="n">
        <v>42972.31</v>
      </c>
      <c r="M71" s="8" t="n">
        <v>28427.69</v>
      </c>
      <c r="N71" s="10" t="n">
        <v>0.39814693324803</v>
      </c>
      <c r="O71" s="11" t="n">
        <f aca="true">NOW()</f>
        <v>46192.1876784839</v>
      </c>
    </row>
    <row r="72" customFormat="false" ht="15" hidden="false" customHeight="false" outlineLevel="0" collapsed="false">
      <c r="A72" s="2" t="s">
        <v>126</v>
      </c>
      <c r="B72" s="2" t="s">
        <v>54</v>
      </c>
      <c r="C72" s="2" t="s">
        <v>41</v>
      </c>
      <c r="D72" s="2" t="s">
        <v>61</v>
      </c>
      <c r="E72" s="2" t="s">
        <v>55</v>
      </c>
      <c r="F72" s="2" t="n">
        <v>39</v>
      </c>
      <c r="G72" s="3" t="n">
        <v>12000</v>
      </c>
      <c r="H72" s="3" t="n">
        <v>468000</v>
      </c>
      <c r="I72" s="4" t="n">
        <v>0</v>
      </c>
      <c r="J72" s="3" t="n">
        <v>0</v>
      </c>
      <c r="K72" s="3" t="n">
        <v>468000</v>
      </c>
      <c r="L72" s="3" t="n">
        <v>284440.72</v>
      </c>
      <c r="M72" s="3" t="n">
        <v>183559.28</v>
      </c>
      <c r="N72" s="5" t="n">
        <v>0.392220684998291</v>
      </c>
      <c r="O72" s="6" t="n">
        <f aca="true">NOW()</f>
        <v>46192.1876784839</v>
      </c>
    </row>
    <row r="73" customFormat="false" ht="15" hidden="false" customHeight="false" outlineLevel="0" collapsed="false">
      <c r="A73" s="7" t="s">
        <v>127</v>
      </c>
      <c r="B73" s="7" t="s">
        <v>57</v>
      </c>
      <c r="C73" s="7" t="s">
        <v>30</v>
      </c>
      <c r="D73" s="7" t="s">
        <v>37</v>
      </c>
      <c r="E73" s="7" t="s">
        <v>58</v>
      </c>
      <c r="F73" s="7" t="n">
        <v>3</v>
      </c>
      <c r="G73" s="8" t="n">
        <v>2000</v>
      </c>
      <c r="H73" s="8" t="n">
        <v>6000</v>
      </c>
      <c r="I73" s="9" t="n">
        <v>0</v>
      </c>
      <c r="J73" s="8" t="n">
        <v>0</v>
      </c>
      <c r="K73" s="8" t="n">
        <v>6000</v>
      </c>
      <c r="L73" s="8" t="n">
        <v>3767.93</v>
      </c>
      <c r="M73" s="8" t="n">
        <v>2232.07</v>
      </c>
      <c r="N73" s="10" t="n">
        <v>0.372011947715012</v>
      </c>
      <c r="O73" s="11" t="n">
        <f aca="true">NOW()</f>
        <v>46192.1876784839</v>
      </c>
    </row>
    <row r="74" customFormat="false" ht="15" hidden="false" customHeight="false" outlineLevel="0" collapsed="false">
      <c r="A74" s="2" t="s">
        <v>128</v>
      </c>
      <c r="B74" s="2" t="s">
        <v>60</v>
      </c>
      <c r="C74" s="2" t="s">
        <v>30</v>
      </c>
      <c r="D74" s="2" t="s">
        <v>37</v>
      </c>
      <c r="E74" s="2" t="s">
        <v>19</v>
      </c>
      <c r="F74" s="2" t="n">
        <v>28</v>
      </c>
      <c r="G74" s="3" t="n">
        <v>15000</v>
      </c>
      <c r="H74" s="3" t="n">
        <v>420000</v>
      </c>
      <c r="I74" s="4" t="n">
        <v>10</v>
      </c>
      <c r="J74" s="3" t="n">
        <v>42000</v>
      </c>
      <c r="K74" s="3" t="n">
        <v>378000</v>
      </c>
      <c r="L74" s="3" t="n">
        <v>243232.91</v>
      </c>
      <c r="M74" s="3" t="n">
        <v>134767.09</v>
      </c>
      <c r="N74" s="5" t="n">
        <v>0.356526688508039</v>
      </c>
      <c r="O74" s="6" t="n">
        <f aca="true">NOW()</f>
        <v>46192.1876784839</v>
      </c>
    </row>
    <row r="75" customFormat="false" ht="15" hidden="false" customHeight="false" outlineLevel="0" collapsed="false">
      <c r="A75" s="7" t="s">
        <v>129</v>
      </c>
      <c r="B75" s="7" t="s">
        <v>63</v>
      </c>
      <c r="C75" s="7" t="s">
        <v>17</v>
      </c>
      <c r="D75" s="7" t="s">
        <v>37</v>
      </c>
      <c r="E75" s="7" t="s">
        <v>23</v>
      </c>
      <c r="F75" s="7" t="n">
        <v>33</v>
      </c>
      <c r="G75" s="8" t="n">
        <v>8000</v>
      </c>
      <c r="H75" s="8" t="n">
        <v>264000</v>
      </c>
      <c r="I75" s="9" t="n">
        <v>15</v>
      </c>
      <c r="J75" s="8" t="n">
        <v>39600</v>
      </c>
      <c r="K75" s="8" t="n">
        <v>224400</v>
      </c>
      <c r="L75" s="8" t="n">
        <v>134399.32</v>
      </c>
      <c r="M75" s="8" t="n">
        <v>90000.68</v>
      </c>
      <c r="N75" s="10" t="n">
        <v>0.40107256427139</v>
      </c>
      <c r="O75" s="11" t="n">
        <f aca="true">NOW()</f>
        <v>46192.1876784839</v>
      </c>
    </row>
    <row r="76" customFormat="false" ht="15" hidden="false" customHeight="false" outlineLevel="0" collapsed="false">
      <c r="A76" s="2" t="s">
        <v>130</v>
      </c>
      <c r="B76" s="2" t="s">
        <v>65</v>
      </c>
      <c r="C76" s="2" t="s">
        <v>41</v>
      </c>
      <c r="D76" s="2" t="s">
        <v>22</v>
      </c>
      <c r="E76" s="2" t="s">
        <v>27</v>
      </c>
      <c r="F76" s="2" t="n">
        <v>9</v>
      </c>
      <c r="G76" s="3" t="n">
        <v>25000</v>
      </c>
      <c r="H76" s="3" t="n">
        <v>225000</v>
      </c>
      <c r="I76" s="4" t="n">
        <v>15</v>
      </c>
      <c r="J76" s="3" t="n">
        <v>33750</v>
      </c>
      <c r="K76" s="3" t="n">
        <v>191250</v>
      </c>
      <c r="L76" s="3" t="n">
        <v>124262.66</v>
      </c>
      <c r="M76" s="3" t="n">
        <v>66987.34</v>
      </c>
      <c r="N76" s="5" t="n">
        <v>0.350260584868084</v>
      </c>
      <c r="O76" s="6" t="n">
        <f aca="true">NOW()</f>
        <v>46192.1876784839</v>
      </c>
    </row>
    <row r="77" customFormat="false" ht="15" hidden="false" customHeight="false" outlineLevel="0" collapsed="false">
      <c r="A77" s="7" t="s">
        <v>131</v>
      </c>
      <c r="B77" s="7" t="s">
        <v>67</v>
      </c>
      <c r="C77" s="7" t="s">
        <v>45</v>
      </c>
      <c r="D77" s="7" t="s">
        <v>26</v>
      </c>
      <c r="E77" s="7" t="s">
        <v>31</v>
      </c>
      <c r="F77" s="7" t="n">
        <v>40</v>
      </c>
      <c r="G77" s="8" t="n">
        <v>12000</v>
      </c>
      <c r="H77" s="8" t="n">
        <v>480000</v>
      </c>
      <c r="I77" s="9" t="n">
        <v>10</v>
      </c>
      <c r="J77" s="8" t="n">
        <v>48000</v>
      </c>
      <c r="K77" s="8" t="n">
        <v>432000</v>
      </c>
      <c r="L77" s="8" t="n">
        <v>263913.67</v>
      </c>
      <c r="M77" s="8" t="n">
        <v>168086.33</v>
      </c>
      <c r="N77" s="10" t="n">
        <v>0.389088724686276</v>
      </c>
      <c r="O77" s="11" t="n">
        <f aca="true">NOW()</f>
        <v>46192.1876784839</v>
      </c>
    </row>
    <row r="78" customFormat="false" ht="15" hidden="false" customHeight="false" outlineLevel="0" collapsed="false">
      <c r="A78" s="2" t="s">
        <v>132</v>
      </c>
      <c r="B78" s="2" t="s">
        <v>69</v>
      </c>
      <c r="C78" s="2" t="s">
        <v>17</v>
      </c>
      <c r="D78" s="2" t="s">
        <v>37</v>
      </c>
      <c r="E78" s="2" t="s">
        <v>34</v>
      </c>
      <c r="F78" s="2" t="n">
        <v>19</v>
      </c>
      <c r="G78" s="3" t="n">
        <v>25000</v>
      </c>
      <c r="H78" s="3" t="n">
        <v>475000</v>
      </c>
      <c r="I78" s="4" t="n">
        <v>15</v>
      </c>
      <c r="J78" s="3" t="n">
        <v>71250</v>
      </c>
      <c r="K78" s="3" t="n">
        <v>403750</v>
      </c>
      <c r="L78" s="3" t="n">
        <v>269650.02</v>
      </c>
      <c r="M78" s="3" t="n">
        <v>134099.98</v>
      </c>
      <c r="N78" s="5" t="n">
        <v>0.332136175878363</v>
      </c>
      <c r="O78" s="6" t="n">
        <f aca="true">NOW()</f>
        <v>46192.1876784839</v>
      </c>
    </row>
    <row r="79" customFormat="false" ht="15" hidden="false" customHeight="false" outlineLevel="0" collapsed="false">
      <c r="A79" s="7" t="s">
        <v>133</v>
      </c>
      <c r="B79" s="7" t="s">
        <v>71</v>
      </c>
      <c r="C79" s="7" t="s">
        <v>41</v>
      </c>
      <c r="D79" s="7" t="s">
        <v>61</v>
      </c>
      <c r="E79" s="7" t="s">
        <v>38</v>
      </c>
      <c r="F79" s="7" t="n">
        <v>29</v>
      </c>
      <c r="G79" s="8" t="n">
        <v>2000</v>
      </c>
      <c r="H79" s="8" t="n">
        <v>58000</v>
      </c>
      <c r="I79" s="9" t="n">
        <v>5</v>
      </c>
      <c r="J79" s="8" t="n">
        <v>2900</v>
      </c>
      <c r="K79" s="8" t="n">
        <v>55100</v>
      </c>
      <c r="L79" s="8" t="n">
        <v>34529.85</v>
      </c>
      <c r="M79" s="8" t="n">
        <v>20570.15</v>
      </c>
      <c r="N79" s="10" t="n">
        <v>0.373323900468812</v>
      </c>
      <c r="O79" s="11" t="n">
        <f aca="true">NOW()</f>
        <v>46192.1876784839</v>
      </c>
    </row>
    <row r="80" customFormat="false" ht="15" hidden="false" customHeight="false" outlineLevel="0" collapsed="false">
      <c r="A80" s="2" t="s">
        <v>134</v>
      </c>
      <c r="B80" s="2" t="s">
        <v>73</v>
      </c>
      <c r="C80" s="2" t="s">
        <v>30</v>
      </c>
      <c r="D80" s="2" t="s">
        <v>18</v>
      </c>
      <c r="E80" s="2" t="s">
        <v>42</v>
      </c>
      <c r="F80" s="2" t="n">
        <v>19</v>
      </c>
      <c r="G80" s="3" t="n">
        <v>12000</v>
      </c>
      <c r="H80" s="3" t="n">
        <v>228000</v>
      </c>
      <c r="I80" s="4" t="n">
        <v>20</v>
      </c>
      <c r="J80" s="3" t="n">
        <v>45600</v>
      </c>
      <c r="K80" s="3" t="n">
        <v>182400</v>
      </c>
      <c r="L80" s="3" t="n">
        <v>109490.75</v>
      </c>
      <c r="M80" s="3" t="n">
        <v>72909.25</v>
      </c>
      <c r="N80" s="5" t="n">
        <v>0.39972176168853</v>
      </c>
      <c r="O80" s="6" t="n">
        <f aca="true">NOW()</f>
        <v>46192.1876784839</v>
      </c>
    </row>
    <row r="81" customFormat="false" ht="15" hidden="false" customHeight="false" outlineLevel="0" collapsed="false">
      <c r="A81" s="7" t="s">
        <v>135</v>
      </c>
      <c r="B81" s="7" t="s">
        <v>75</v>
      </c>
      <c r="C81" s="7" t="s">
        <v>30</v>
      </c>
      <c r="D81" s="7" t="s">
        <v>37</v>
      </c>
      <c r="E81" s="7" t="s">
        <v>46</v>
      </c>
      <c r="F81" s="7" t="n">
        <v>15</v>
      </c>
      <c r="G81" s="8" t="n">
        <v>25000</v>
      </c>
      <c r="H81" s="8" t="n">
        <v>375000</v>
      </c>
      <c r="I81" s="9" t="n">
        <v>5</v>
      </c>
      <c r="J81" s="8" t="n">
        <v>18750</v>
      </c>
      <c r="K81" s="8" t="n">
        <v>356250</v>
      </c>
      <c r="L81" s="8" t="n">
        <v>197242.73</v>
      </c>
      <c r="M81" s="8" t="n">
        <v>159007.27</v>
      </c>
      <c r="N81" s="10" t="n">
        <v>0.446336191840976</v>
      </c>
      <c r="O81" s="11" t="n">
        <f aca="true">NOW()</f>
        <v>46192.1876784839</v>
      </c>
    </row>
    <row r="82" customFormat="false" ht="15" hidden="false" customHeight="false" outlineLevel="0" collapsed="false">
      <c r="A82" s="2" t="s">
        <v>136</v>
      </c>
      <c r="B82" s="2" t="s">
        <v>16</v>
      </c>
      <c r="C82" s="2" t="s">
        <v>30</v>
      </c>
      <c r="D82" s="2" t="s">
        <v>61</v>
      </c>
      <c r="E82" s="2" t="s">
        <v>49</v>
      </c>
      <c r="F82" s="2" t="n">
        <v>40</v>
      </c>
      <c r="G82" s="3" t="n">
        <v>15000</v>
      </c>
      <c r="H82" s="3" t="n">
        <v>600000</v>
      </c>
      <c r="I82" s="4" t="n">
        <v>15</v>
      </c>
      <c r="J82" s="3" t="n">
        <v>90000</v>
      </c>
      <c r="K82" s="3" t="n">
        <v>510000</v>
      </c>
      <c r="L82" s="3" t="n">
        <v>312204.74</v>
      </c>
      <c r="M82" s="3" t="n">
        <v>197795.26</v>
      </c>
      <c r="N82" s="5" t="n">
        <v>0.387833848350342</v>
      </c>
      <c r="O82" s="6" t="n">
        <f aca="true">NOW()</f>
        <v>46192.1876784839</v>
      </c>
    </row>
    <row r="83" customFormat="false" ht="15" hidden="false" customHeight="false" outlineLevel="0" collapsed="false">
      <c r="A83" s="7" t="s">
        <v>137</v>
      </c>
      <c r="B83" s="7" t="s">
        <v>21</v>
      </c>
      <c r="C83" s="7" t="s">
        <v>30</v>
      </c>
      <c r="D83" s="7" t="s">
        <v>61</v>
      </c>
      <c r="E83" s="7" t="s">
        <v>52</v>
      </c>
      <c r="F83" s="7" t="n">
        <v>32</v>
      </c>
      <c r="G83" s="8" t="n">
        <v>2000</v>
      </c>
      <c r="H83" s="8" t="n">
        <v>64000</v>
      </c>
      <c r="I83" s="9" t="n">
        <v>5</v>
      </c>
      <c r="J83" s="8" t="n">
        <v>3200</v>
      </c>
      <c r="K83" s="8" t="n">
        <v>60800</v>
      </c>
      <c r="L83" s="8" t="n">
        <v>34785.85</v>
      </c>
      <c r="M83" s="8" t="n">
        <v>26014.15</v>
      </c>
      <c r="N83" s="10" t="n">
        <v>0.427864298236305</v>
      </c>
      <c r="O83" s="11" t="n">
        <f aca="true">NOW()</f>
        <v>46192.1876784839</v>
      </c>
    </row>
    <row r="84" customFormat="false" ht="15" hidden="false" customHeight="false" outlineLevel="0" collapsed="false">
      <c r="A84" s="2" t="s">
        <v>138</v>
      </c>
      <c r="B84" s="2" t="s">
        <v>25</v>
      </c>
      <c r="C84" s="2" t="s">
        <v>17</v>
      </c>
      <c r="D84" s="2" t="s">
        <v>18</v>
      </c>
      <c r="E84" s="2" t="s">
        <v>55</v>
      </c>
      <c r="F84" s="2" t="n">
        <v>50</v>
      </c>
      <c r="G84" s="3" t="n">
        <v>2000</v>
      </c>
      <c r="H84" s="3" t="n">
        <v>100000</v>
      </c>
      <c r="I84" s="4" t="n">
        <v>5</v>
      </c>
      <c r="J84" s="3" t="n">
        <v>5000</v>
      </c>
      <c r="K84" s="3" t="n">
        <v>95000</v>
      </c>
      <c r="L84" s="3" t="n">
        <v>54756.39</v>
      </c>
      <c r="M84" s="3" t="n">
        <v>40243.61</v>
      </c>
      <c r="N84" s="5" t="n">
        <v>0.42361699774402</v>
      </c>
      <c r="O84" s="6" t="n">
        <f aca="true">NOW()</f>
        <v>46192.1876784839</v>
      </c>
    </row>
    <row r="85" customFormat="false" ht="15" hidden="false" customHeight="false" outlineLevel="0" collapsed="false">
      <c r="A85" s="7" t="s">
        <v>139</v>
      </c>
      <c r="B85" s="7" t="s">
        <v>29</v>
      </c>
      <c r="C85" s="7" t="s">
        <v>45</v>
      </c>
      <c r="D85" s="7" t="s">
        <v>18</v>
      </c>
      <c r="E85" s="7" t="s">
        <v>58</v>
      </c>
      <c r="F85" s="7" t="n">
        <v>36</v>
      </c>
      <c r="G85" s="8" t="n">
        <v>25000</v>
      </c>
      <c r="H85" s="8" t="n">
        <v>900000</v>
      </c>
      <c r="I85" s="9" t="n">
        <v>0</v>
      </c>
      <c r="J85" s="8" t="n">
        <v>0</v>
      </c>
      <c r="K85" s="8" t="n">
        <v>900000</v>
      </c>
      <c r="L85" s="8" t="n">
        <v>556622.35</v>
      </c>
      <c r="M85" s="8" t="n">
        <v>343377.65</v>
      </c>
      <c r="N85" s="10" t="n">
        <v>0.381530726179474</v>
      </c>
      <c r="O85" s="11" t="n">
        <f aca="true">NOW()</f>
        <v>46192.187678484</v>
      </c>
    </row>
    <row r="86" customFormat="false" ht="15" hidden="false" customHeight="false" outlineLevel="0" collapsed="false">
      <c r="A86" s="2" t="s">
        <v>140</v>
      </c>
      <c r="B86" s="2" t="s">
        <v>33</v>
      </c>
      <c r="C86" s="2" t="s">
        <v>45</v>
      </c>
      <c r="D86" s="2" t="s">
        <v>22</v>
      </c>
      <c r="E86" s="2" t="s">
        <v>19</v>
      </c>
      <c r="F86" s="2" t="n">
        <v>36</v>
      </c>
      <c r="G86" s="3" t="n">
        <v>12000</v>
      </c>
      <c r="H86" s="3" t="n">
        <v>432000</v>
      </c>
      <c r="I86" s="4" t="n">
        <v>10</v>
      </c>
      <c r="J86" s="3" t="n">
        <v>43200</v>
      </c>
      <c r="K86" s="3" t="n">
        <v>388800</v>
      </c>
      <c r="L86" s="3" t="n">
        <v>269246.31</v>
      </c>
      <c r="M86" s="3" t="n">
        <v>119553.69</v>
      </c>
      <c r="N86" s="5" t="n">
        <v>0.307494058733527</v>
      </c>
      <c r="O86" s="6" t="n">
        <f aca="true">NOW()</f>
        <v>46192.187678484</v>
      </c>
    </row>
    <row r="87" customFormat="false" ht="15" hidden="false" customHeight="false" outlineLevel="0" collapsed="false">
      <c r="A87" s="7" t="s">
        <v>141</v>
      </c>
      <c r="B87" s="7" t="s">
        <v>36</v>
      </c>
      <c r="C87" s="7" t="s">
        <v>45</v>
      </c>
      <c r="D87" s="7" t="s">
        <v>22</v>
      </c>
      <c r="E87" s="7" t="s">
        <v>23</v>
      </c>
      <c r="F87" s="7" t="n">
        <v>47</v>
      </c>
      <c r="G87" s="8" t="n">
        <v>12000</v>
      </c>
      <c r="H87" s="8" t="n">
        <v>564000</v>
      </c>
      <c r="I87" s="9" t="n">
        <v>15</v>
      </c>
      <c r="J87" s="8" t="n">
        <v>84600</v>
      </c>
      <c r="K87" s="8" t="n">
        <v>479400</v>
      </c>
      <c r="L87" s="8" t="n">
        <v>323396.23</v>
      </c>
      <c r="M87" s="8" t="n">
        <v>156003.77</v>
      </c>
      <c r="N87" s="10" t="n">
        <v>0.325414624541788</v>
      </c>
      <c r="O87" s="11" t="n">
        <f aca="true">NOW()</f>
        <v>46192.187678484</v>
      </c>
    </row>
    <row r="88" customFormat="false" ht="15" hidden="false" customHeight="false" outlineLevel="0" collapsed="false">
      <c r="A88" s="2" t="s">
        <v>142</v>
      </c>
      <c r="B88" s="2" t="s">
        <v>40</v>
      </c>
      <c r="C88" s="2" t="s">
        <v>45</v>
      </c>
      <c r="D88" s="2" t="s">
        <v>26</v>
      </c>
      <c r="E88" s="2" t="s">
        <v>27</v>
      </c>
      <c r="F88" s="2" t="n">
        <v>48</v>
      </c>
      <c r="G88" s="3" t="n">
        <v>2000</v>
      </c>
      <c r="H88" s="3" t="n">
        <v>96000</v>
      </c>
      <c r="I88" s="4" t="n">
        <v>15</v>
      </c>
      <c r="J88" s="3" t="n">
        <v>14400</v>
      </c>
      <c r="K88" s="3" t="n">
        <v>81600</v>
      </c>
      <c r="L88" s="3" t="n">
        <v>48052.5</v>
      </c>
      <c r="M88" s="3" t="n">
        <v>33547.5</v>
      </c>
      <c r="N88" s="5" t="n">
        <v>0.411121267730247</v>
      </c>
      <c r="O88" s="6" t="n">
        <f aca="true">NOW()</f>
        <v>46192.187678484</v>
      </c>
    </row>
    <row r="89" customFormat="false" ht="15" hidden="false" customHeight="false" outlineLevel="0" collapsed="false">
      <c r="A89" s="7" t="s">
        <v>143</v>
      </c>
      <c r="B89" s="7" t="s">
        <v>44</v>
      </c>
      <c r="C89" s="7" t="s">
        <v>30</v>
      </c>
      <c r="D89" s="7" t="s">
        <v>37</v>
      </c>
      <c r="E89" s="7" t="s">
        <v>31</v>
      </c>
      <c r="F89" s="7" t="n">
        <v>50</v>
      </c>
      <c r="G89" s="8" t="n">
        <v>12000</v>
      </c>
      <c r="H89" s="8" t="n">
        <v>600000</v>
      </c>
      <c r="I89" s="9" t="n">
        <v>15</v>
      </c>
      <c r="J89" s="8" t="n">
        <v>90000</v>
      </c>
      <c r="K89" s="8" t="n">
        <v>510000</v>
      </c>
      <c r="L89" s="8" t="n">
        <v>328446.26</v>
      </c>
      <c r="M89" s="8" t="n">
        <v>181553.74</v>
      </c>
      <c r="N89" s="10" t="n">
        <v>0.355987734452733</v>
      </c>
      <c r="O89" s="11" t="n">
        <f aca="true">NOW()</f>
        <v>46192.187678484</v>
      </c>
    </row>
    <row r="90" customFormat="false" ht="15" hidden="false" customHeight="false" outlineLevel="0" collapsed="false">
      <c r="A90" s="2" t="s">
        <v>144</v>
      </c>
      <c r="B90" s="2" t="s">
        <v>48</v>
      </c>
      <c r="C90" s="2" t="s">
        <v>41</v>
      </c>
      <c r="D90" s="2" t="s">
        <v>61</v>
      </c>
      <c r="E90" s="2" t="s">
        <v>34</v>
      </c>
      <c r="F90" s="2" t="n">
        <v>5</v>
      </c>
      <c r="G90" s="3" t="n">
        <v>8000</v>
      </c>
      <c r="H90" s="3" t="n">
        <v>40000</v>
      </c>
      <c r="I90" s="4" t="n">
        <v>5</v>
      </c>
      <c r="J90" s="3" t="n">
        <v>2000</v>
      </c>
      <c r="K90" s="3" t="n">
        <v>38000</v>
      </c>
      <c r="L90" s="3" t="n">
        <v>22448.78</v>
      </c>
      <c r="M90" s="3" t="n">
        <v>15551.22</v>
      </c>
      <c r="N90" s="5" t="n">
        <v>0.409242733937672</v>
      </c>
      <c r="O90" s="6" t="n">
        <f aca="true">NOW()</f>
        <v>46192.187678484</v>
      </c>
    </row>
    <row r="91" customFormat="false" ht="15" hidden="false" customHeight="false" outlineLevel="0" collapsed="false">
      <c r="A91" s="7" t="s">
        <v>145</v>
      </c>
      <c r="B91" s="7" t="s">
        <v>51</v>
      </c>
      <c r="C91" s="7" t="s">
        <v>41</v>
      </c>
      <c r="D91" s="7" t="s">
        <v>22</v>
      </c>
      <c r="E91" s="7" t="s">
        <v>38</v>
      </c>
      <c r="F91" s="7" t="n">
        <v>6</v>
      </c>
      <c r="G91" s="8" t="n">
        <v>25000</v>
      </c>
      <c r="H91" s="8" t="n">
        <v>150000</v>
      </c>
      <c r="I91" s="9" t="n">
        <v>5</v>
      </c>
      <c r="J91" s="8" t="n">
        <v>7500</v>
      </c>
      <c r="K91" s="8" t="n">
        <v>142500</v>
      </c>
      <c r="L91" s="8" t="n">
        <v>83318.21</v>
      </c>
      <c r="M91" s="8" t="n">
        <v>59181.79</v>
      </c>
      <c r="N91" s="10" t="n">
        <v>0.415310778040772</v>
      </c>
      <c r="O91" s="11" t="n">
        <f aca="true">NOW()</f>
        <v>46192.187678484</v>
      </c>
    </row>
    <row r="92" customFormat="false" ht="15" hidden="false" customHeight="false" outlineLevel="0" collapsed="false">
      <c r="A92" s="2" t="s">
        <v>146</v>
      </c>
      <c r="B92" s="2" t="s">
        <v>54</v>
      </c>
      <c r="C92" s="2" t="s">
        <v>30</v>
      </c>
      <c r="D92" s="2" t="s">
        <v>26</v>
      </c>
      <c r="E92" s="2" t="s">
        <v>42</v>
      </c>
      <c r="F92" s="2" t="n">
        <v>5</v>
      </c>
      <c r="G92" s="3" t="n">
        <v>2000</v>
      </c>
      <c r="H92" s="3" t="n">
        <v>10000</v>
      </c>
      <c r="I92" s="4" t="n">
        <v>15</v>
      </c>
      <c r="J92" s="3" t="n">
        <v>1500</v>
      </c>
      <c r="K92" s="3" t="n">
        <v>8500</v>
      </c>
      <c r="L92" s="3" t="n">
        <v>5096.87</v>
      </c>
      <c r="M92" s="3" t="n">
        <v>3403.13</v>
      </c>
      <c r="N92" s="5" t="n">
        <v>0.400367791344288</v>
      </c>
      <c r="O92" s="6" t="n">
        <f aca="true">NOW()</f>
        <v>46192.187678484</v>
      </c>
    </row>
    <row r="93" customFormat="false" ht="15" hidden="false" customHeight="false" outlineLevel="0" collapsed="false">
      <c r="A93" s="7" t="s">
        <v>147</v>
      </c>
      <c r="B93" s="7" t="s">
        <v>57</v>
      </c>
      <c r="C93" s="7" t="s">
        <v>45</v>
      </c>
      <c r="D93" s="7" t="s">
        <v>61</v>
      </c>
      <c r="E93" s="7" t="s">
        <v>46</v>
      </c>
      <c r="F93" s="7" t="n">
        <v>4</v>
      </c>
      <c r="G93" s="8" t="n">
        <v>25000</v>
      </c>
      <c r="H93" s="8" t="n">
        <v>100000</v>
      </c>
      <c r="I93" s="9" t="n">
        <v>15</v>
      </c>
      <c r="J93" s="8" t="n">
        <v>15000</v>
      </c>
      <c r="K93" s="8" t="n">
        <v>85000</v>
      </c>
      <c r="L93" s="8" t="n">
        <v>51715.83</v>
      </c>
      <c r="M93" s="8" t="n">
        <v>33284.17</v>
      </c>
      <c r="N93" s="10" t="n">
        <v>0.391578478099959</v>
      </c>
      <c r="O93" s="11" t="n">
        <f aca="true">NOW()</f>
        <v>46192.187678484</v>
      </c>
    </row>
    <row r="94" customFormat="false" ht="15" hidden="false" customHeight="false" outlineLevel="0" collapsed="false">
      <c r="A94" s="2" t="s">
        <v>148</v>
      </c>
      <c r="B94" s="2" t="s">
        <v>60</v>
      </c>
      <c r="C94" s="2" t="s">
        <v>17</v>
      </c>
      <c r="D94" s="2" t="s">
        <v>22</v>
      </c>
      <c r="E94" s="2" t="s">
        <v>49</v>
      </c>
      <c r="F94" s="2" t="n">
        <v>25</v>
      </c>
      <c r="G94" s="3" t="n">
        <v>2000</v>
      </c>
      <c r="H94" s="3" t="n">
        <v>50000</v>
      </c>
      <c r="I94" s="4" t="n">
        <v>0</v>
      </c>
      <c r="J94" s="3" t="n">
        <v>0</v>
      </c>
      <c r="K94" s="3" t="n">
        <v>50000</v>
      </c>
      <c r="L94" s="3" t="n">
        <v>34570.56</v>
      </c>
      <c r="M94" s="3" t="n">
        <v>15429.44</v>
      </c>
      <c r="N94" s="5" t="n">
        <v>0.308588751384886</v>
      </c>
      <c r="O94" s="6" t="n">
        <f aca="true">NOW()</f>
        <v>46192.187678484</v>
      </c>
    </row>
    <row r="95" customFormat="false" ht="15" hidden="false" customHeight="false" outlineLevel="0" collapsed="false">
      <c r="A95" s="7" t="s">
        <v>149</v>
      </c>
      <c r="B95" s="7" t="s">
        <v>63</v>
      </c>
      <c r="C95" s="7" t="s">
        <v>41</v>
      </c>
      <c r="D95" s="7" t="s">
        <v>61</v>
      </c>
      <c r="E95" s="7" t="s">
        <v>52</v>
      </c>
      <c r="F95" s="7" t="n">
        <v>27</v>
      </c>
      <c r="G95" s="8" t="n">
        <v>12000</v>
      </c>
      <c r="H95" s="8" t="n">
        <v>324000</v>
      </c>
      <c r="I95" s="9" t="n">
        <v>20</v>
      </c>
      <c r="J95" s="8" t="n">
        <v>64800</v>
      </c>
      <c r="K95" s="8" t="n">
        <v>259200</v>
      </c>
      <c r="L95" s="8" t="n">
        <v>173658.87</v>
      </c>
      <c r="M95" s="8" t="n">
        <v>85541.13</v>
      </c>
      <c r="N95" s="10" t="n">
        <v>0.33001977435881</v>
      </c>
      <c r="O95" s="11" t="n">
        <f aca="true">NOW()</f>
        <v>46192.187678484</v>
      </c>
    </row>
    <row r="96" customFormat="false" ht="15" hidden="false" customHeight="false" outlineLevel="0" collapsed="false">
      <c r="A96" s="2" t="s">
        <v>150</v>
      </c>
      <c r="B96" s="2" t="s">
        <v>65</v>
      </c>
      <c r="C96" s="2" t="s">
        <v>30</v>
      </c>
      <c r="D96" s="2" t="s">
        <v>61</v>
      </c>
      <c r="E96" s="2" t="s">
        <v>55</v>
      </c>
      <c r="F96" s="2" t="n">
        <v>15</v>
      </c>
      <c r="G96" s="3" t="n">
        <v>8000</v>
      </c>
      <c r="H96" s="3" t="n">
        <v>120000</v>
      </c>
      <c r="I96" s="4" t="n">
        <v>15</v>
      </c>
      <c r="J96" s="3" t="n">
        <v>18000</v>
      </c>
      <c r="K96" s="3" t="n">
        <v>102000</v>
      </c>
      <c r="L96" s="3" t="n">
        <v>63530.32</v>
      </c>
      <c r="M96" s="3" t="n">
        <v>38469.68</v>
      </c>
      <c r="N96" s="5" t="n">
        <v>0.377153700930225</v>
      </c>
      <c r="O96" s="6" t="n">
        <f aca="true">NOW()</f>
        <v>46192.187678484</v>
      </c>
    </row>
    <row r="97" customFormat="false" ht="15" hidden="false" customHeight="false" outlineLevel="0" collapsed="false">
      <c r="A97" s="7" t="s">
        <v>151</v>
      </c>
      <c r="B97" s="7" t="s">
        <v>67</v>
      </c>
      <c r="C97" s="7" t="s">
        <v>45</v>
      </c>
      <c r="D97" s="7" t="s">
        <v>37</v>
      </c>
      <c r="E97" s="7" t="s">
        <v>58</v>
      </c>
      <c r="F97" s="7" t="n">
        <v>43</v>
      </c>
      <c r="G97" s="8" t="n">
        <v>2000</v>
      </c>
      <c r="H97" s="8" t="n">
        <v>86000</v>
      </c>
      <c r="I97" s="9" t="n">
        <v>5</v>
      </c>
      <c r="J97" s="8" t="n">
        <v>4300</v>
      </c>
      <c r="K97" s="8" t="n">
        <v>81700</v>
      </c>
      <c r="L97" s="8" t="n">
        <v>55235.4</v>
      </c>
      <c r="M97" s="8" t="n">
        <v>26464.6</v>
      </c>
      <c r="N97" s="10" t="n">
        <v>0.323924150540616</v>
      </c>
      <c r="O97" s="11" t="n">
        <f aca="true">NOW()</f>
        <v>46192.187678484</v>
      </c>
    </row>
    <row r="98" customFormat="false" ht="15" hidden="false" customHeight="false" outlineLevel="0" collapsed="false">
      <c r="A98" s="2" t="s">
        <v>152</v>
      </c>
      <c r="B98" s="2" t="s">
        <v>69</v>
      </c>
      <c r="C98" s="2" t="s">
        <v>30</v>
      </c>
      <c r="D98" s="2" t="s">
        <v>22</v>
      </c>
      <c r="E98" s="2" t="s">
        <v>19</v>
      </c>
      <c r="F98" s="2" t="n">
        <v>35</v>
      </c>
      <c r="G98" s="3" t="n">
        <v>15000</v>
      </c>
      <c r="H98" s="3" t="n">
        <v>525000</v>
      </c>
      <c r="I98" s="4" t="n">
        <v>15</v>
      </c>
      <c r="J98" s="3" t="n">
        <v>78750</v>
      </c>
      <c r="K98" s="3" t="n">
        <v>446250</v>
      </c>
      <c r="L98" s="3" t="n">
        <v>285057.32</v>
      </c>
      <c r="M98" s="3" t="n">
        <v>161192.68</v>
      </c>
      <c r="N98" s="5" t="n">
        <v>0.361216083655813</v>
      </c>
      <c r="O98" s="6" t="n">
        <f aca="true">NOW()</f>
        <v>46192.187678484</v>
      </c>
    </row>
    <row r="99" customFormat="false" ht="15" hidden="false" customHeight="false" outlineLevel="0" collapsed="false">
      <c r="A99" s="7" t="s">
        <v>153</v>
      </c>
      <c r="B99" s="7" t="s">
        <v>71</v>
      </c>
      <c r="C99" s="7" t="s">
        <v>17</v>
      </c>
      <c r="D99" s="7" t="s">
        <v>18</v>
      </c>
      <c r="E99" s="7" t="s">
        <v>23</v>
      </c>
      <c r="F99" s="7" t="n">
        <v>42</v>
      </c>
      <c r="G99" s="8" t="n">
        <v>2000</v>
      </c>
      <c r="H99" s="8" t="n">
        <v>84000</v>
      </c>
      <c r="I99" s="9" t="n">
        <v>5</v>
      </c>
      <c r="J99" s="8" t="n">
        <v>4200</v>
      </c>
      <c r="K99" s="8" t="n">
        <v>79800</v>
      </c>
      <c r="L99" s="8" t="n">
        <v>54266.21</v>
      </c>
      <c r="M99" s="8" t="n">
        <v>25533.79</v>
      </c>
      <c r="N99" s="10" t="n">
        <v>0.319972296660731</v>
      </c>
      <c r="O99" s="11" t="n">
        <f aca="true">NOW()</f>
        <v>46192.187678484</v>
      </c>
    </row>
    <row r="100" customFormat="false" ht="15" hidden="false" customHeight="false" outlineLevel="0" collapsed="false">
      <c r="A100" s="2" t="s">
        <v>154</v>
      </c>
      <c r="B100" s="2" t="s">
        <v>73</v>
      </c>
      <c r="C100" s="2" t="s">
        <v>30</v>
      </c>
      <c r="D100" s="2" t="s">
        <v>18</v>
      </c>
      <c r="E100" s="2" t="s">
        <v>27</v>
      </c>
      <c r="F100" s="2" t="n">
        <v>17</v>
      </c>
      <c r="G100" s="3" t="n">
        <v>2000</v>
      </c>
      <c r="H100" s="3" t="n">
        <v>34000</v>
      </c>
      <c r="I100" s="4" t="n">
        <v>10</v>
      </c>
      <c r="J100" s="3" t="n">
        <v>3400</v>
      </c>
      <c r="K100" s="3" t="n">
        <v>30600</v>
      </c>
      <c r="L100" s="3" t="n">
        <v>17801.52</v>
      </c>
      <c r="M100" s="3" t="n">
        <v>12798.48</v>
      </c>
      <c r="N100" s="5" t="n">
        <v>0.418250957368278</v>
      </c>
      <c r="O100" s="6" t="n">
        <f aca="true">NOW()</f>
        <v>46192.187678484</v>
      </c>
    </row>
    <row r="101" customFormat="false" ht="15" hidden="false" customHeight="false" outlineLevel="0" collapsed="false">
      <c r="A101" s="7" t="s">
        <v>155</v>
      </c>
      <c r="B101" s="7" t="s">
        <v>75</v>
      </c>
      <c r="C101" s="7" t="s">
        <v>41</v>
      </c>
      <c r="D101" s="7" t="s">
        <v>37</v>
      </c>
      <c r="E101" s="7" t="s">
        <v>31</v>
      </c>
      <c r="F101" s="7" t="n">
        <v>49</v>
      </c>
      <c r="G101" s="8" t="n">
        <v>2000</v>
      </c>
      <c r="H101" s="8" t="n">
        <v>98000</v>
      </c>
      <c r="I101" s="9" t="n">
        <v>10</v>
      </c>
      <c r="J101" s="8" t="n">
        <v>9800</v>
      </c>
      <c r="K101" s="8" t="n">
        <v>88200</v>
      </c>
      <c r="L101" s="8" t="n">
        <v>58459.09</v>
      </c>
      <c r="M101" s="8" t="n">
        <v>29740.91</v>
      </c>
      <c r="N101" s="10" t="n">
        <v>0.337198526466782</v>
      </c>
      <c r="O101" s="11" t="n">
        <f aca="true">NOW()</f>
        <v>46192.187678484</v>
      </c>
    </row>
    <row r="102" customFormat="false" ht="15" hidden="false" customHeight="false" outlineLevel="0" collapsed="false">
      <c r="A102" s="2" t="s">
        <v>156</v>
      </c>
      <c r="B102" s="2" t="s">
        <v>16</v>
      </c>
      <c r="C102" s="2" t="s">
        <v>45</v>
      </c>
      <c r="D102" s="2" t="s">
        <v>37</v>
      </c>
      <c r="E102" s="2" t="s">
        <v>34</v>
      </c>
      <c r="F102" s="2" t="n">
        <v>6</v>
      </c>
      <c r="G102" s="3" t="n">
        <v>2000</v>
      </c>
      <c r="H102" s="3" t="n">
        <v>12000</v>
      </c>
      <c r="I102" s="4" t="n">
        <v>0</v>
      </c>
      <c r="J102" s="3" t="n">
        <v>0</v>
      </c>
      <c r="K102" s="3" t="n">
        <v>12000</v>
      </c>
      <c r="L102" s="3" t="n">
        <v>7948.24</v>
      </c>
      <c r="M102" s="3" t="n">
        <v>4051.76</v>
      </c>
      <c r="N102" s="5" t="n">
        <v>0.337646360837572</v>
      </c>
      <c r="O102" s="6" t="n">
        <f aca="true">NOW()</f>
        <v>46192.187678484</v>
      </c>
    </row>
    <row r="103" customFormat="false" ht="15" hidden="false" customHeight="false" outlineLevel="0" collapsed="false">
      <c r="A103" s="7" t="s">
        <v>157</v>
      </c>
      <c r="B103" s="7" t="s">
        <v>21</v>
      </c>
      <c r="C103" s="7" t="s">
        <v>17</v>
      </c>
      <c r="D103" s="7" t="s">
        <v>37</v>
      </c>
      <c r="E103" s="7" t="s">
        <v>38</v>
      </c>
      <c r="F103" s="7" t="n">
        <v>15</v>
      </c>
      <c r="G103" s="8" t="n">
        <v>15000</v>
      </c>
      <c r="H103" s="8" t="n">
        <v>225000</v>
      </c>
      <c r="I103" s="9" t="n">
        <v>0</v>
      </c>
      <c r="J103" s="8" t="n">
        <v>0</v>
      </c>
      <c r="K103" s="8" t="n">
        <v>225000</v>
      </c>
      <c r="L103" s="8" t="n">
        <v>149205.37</v>
      </c>
      <c r="M103" s="8" t="n">
        <v>75794.63</v>
      </c>
      <c r="N103" s="10" t="n">
        <v>0.336865019391071</v>
      </c>
      <c r="O103" s="11" t="n">
        <f aca="true">NOW()</f>
        <v>46192.187678484</v>
      </c>
    </row>
    <row r="104" customFormat="false" ht="15" hidden="false" customHeight="false" outlineLevel="0" collapsed="false">
      <c r="A104" s="2" t="s">
        <v>158</v>
      </c>
      <c r="B104" s="2" t="s">
        <v>25</v>
      </c>
      <c r="C104" s="2" t="s">
        <v>30</v>
      </c>
      <c r="D104" s="2" t="s">
        <v>26</v>
      </c>
      <c r="E104" s="2" t="s">
        <v>42</v>
      </c>
      <c r="F104" s="2" t="n">
        <v>2</v>
      </c>
      <c r="G104" s="3" t="n">
        <v>12000</v>
      </c>
      <c r="H104" s="3" t="n">
        <v>24000</v>
      </c>
      <c r="I104" s="4" t="n">
        <v>5</v>
      </c>
      <c r="J104" s="3" t="n">
        <v>1200</v>
      </c>
      <c r="K104" s="3" t="n">
        <v>22800</v>
      </c>
      <c r="L104" s="3" t="n">
        <v>13355.82</v>
      </c>
      <c r="M104" s="3" t="n">
        <v>9444.18</v>
      </c>
      <c r="N104" s="5" t="n">
        <v>0.414218258716664</v>
      </c>
      <c r="O104" s="6" t="n">
        <f aca="true">NOW()</f>
        <v>46192.187678484</v>
      </c>
    </row>
    <row r="105" customFormat="false" ht="15" hidden="false" customHeight="false" outlineLevel="0" collapsed="false">
      <c r="A105" s="7" t="s">
        <v>159</v>
      </c>
      <c r="B105" s="7" t="s">
        <v>29</v>
      </c>
      <c r="C105" s="7" t="s">
        <v>45</v>
      </c>
      <c r="D105" s="7" t="s">
        <v>18</v>
      </c>
      <c r="E105" s="7" t="s">
        <v>46</v>
      </c>
      <c r="F105" s="7" t="n">
        <v>37</v>
      </c>
      <c r="G105" s="8" t="n">
        <v>25000</v>
      </c>
      <c r="H105" s="8" t="n">
        <v>925000</v>
      </c>
      <c r="I105" s="9" t="n">
        <v>15</v>
      </c>
      <c r="J105" s="8" t="n">
        <v>138750</v>
      </c>
      <c r="K105" s="8" t="n">
        <v>786250</v>
      </c>
      <c r="L105" s="8" t="n">
        <v>514930.65</v>
      </c>
      <c r="M105" s="8" t="n">
        <v>271319.35</v>
      </c>
      <c r="N105" s="10" t="n">
        <v>0.345080254313077</v>
      </c>
      <c r="O105" s="11" t="n">
        <f aca="true">NOW()</f>
        <v>46192.187678484</v>
      </c>
    </row>
    <row r="106" customFormat="false" ht="15" hidden="false" customHeight="false" outlineLevel="0" collapsed="false">
      <c r="A106" s="2" t="s">
        <v>160</v>
      </c>
      <c r="B106" s="2" t="s">
        <v>33</v>
      </c>
      <c r="C106" s="2" t="s">
        <v>41</v>
      </c>
      <c r="D106" s="2" t="s">
        <v>26</v>
      </c>
      <c r="E106" s="2" t="s">
        <v>49</v>
      </c>
      <c r="F106" s="2" t="n">
        <v>39</v>
      </c>
      <c r="G106" s="3" t="n">
        <v>12000</v>
      </c>
      <c r="H106" s="3" t="n">
        <v>468000</v>
      </c>
      <c r="I106" s="4" t="n">
        <v>0</v>
      </c>
      <c r="J106" s="3" t="n">
        <v>0</v>
      </c>
      <c r="K106" s="3" t="n">
        <v>468000</v>
      </c>
      <c r="L106" s="3" t="n">
        <v>312000.99</v>
      </c>
      <c r="M106" s="3" t="n">
        <v>155999.01</v>
      </c>
      <c r="N106" s="5" t="n">
        <v>0.333331217073685</v>
      </c>
      <c r="O106" s="6" t="n">
        <f aca="true">NOW()</f>
        <v>46192.187678484</v>
      </c>
    </row>
    <row r="107" customFormat="false" ht="15" hidden="false" customHeight="false" outlineLevel="0" collapsed="false">
      <c r="A107" s="7" t="s">
        <v>161</v>
      </c>
      <c r="B107" s="7" t="s">
        <v>36</v>
      </c>
      <c r="C107" s="7" t="s">
        <v>30</v>
      </c>
      <c r="D107" s="7" t="s">
        <v>37</v>
      </c>
      <c r="E107" s="7" t="s">
        <v>52</v>
      </c>
      <c r="F107" s="7" t="n">
        <v>7</v>
      </c>
      <c r="G107" s="8" t="n">
        <v>12000</v>
      </c>
      <c r="H107" s="8" t="n">
        <v>84000</v>
      </c>
      <c r="I107" s="9" t="n">
        <v>0</v>
      </c>
      <c r="J107" s="8" t="n">
        <v>0</v>
      </c>
      <c r="K107" s="8" t="n">
        <v>84000</v>
      </c>
      <c r="L107" s="8" t="n">
        <v>57903.98</v>
      </c>
      <c r="M107" s="8" t="n">
        <v>26096.02</v>
      </c>
      <c r="N107" s="10" t="n">
        <v>0.310666924738932</v>
      </c>
      <c r="O107" s="11" t="n">
        <f aca="true">NOW()</f>
        <v>46192.187678484</v>
      </c>
    </row>
    <row r="108" customFormat="false" ht="15" hidden="false" customHeight="false" outlineLevel="0" collapsed="false">
      <c r="A108" s="2" t="s">
        <v>162</v>
      </c>
      <c r="B108" s="2" t="s">
        <v>40</v>
      </c>
      <c r="C108" s="2" t="s">
        <v>45</v>
      </c>
      <c r="D108" s="2" t="s">
        <v>61</v>
      </c>
      <c r="E108" s="2" t="s">
        <v>55</v>
      </c>
      <c r="F108" s="2" t="n">
        <v>46</v>
      </c>
      <c r="G108" s="3" t="n">
        <v>25000</v>
      </c>
      <c r="H108" s="3" t="n">
        <v>1150000</v>
      </c>
      <c r="I108" s="4" t="n">
        <v>0</v>
      </c>
      <c r="J108" s="3" t="n">
        <v>0</v>
      </c>
      <c r="K108" s="3" t="n">
        <v>1150000</v>
      </c>
      <c r="L108" s="3" t="n">
        <v>734636.88</v>
      </c>
      <c r="M108" s="3" t="n">
        <v>415363.12</v>
      </c>
      <c r="N108" s="5" t="n">
        <v>0.361185320812522</v>
      </c>
      <c r="O108" s="6" t="n">
        <f aca="true">NOW()</f>
        <v>46192.187678484</v>
      </c>
    </row>
    <row r="109" customFormat="false" ht="15" hidden="false" customHeight="false" outlineLevel="0" collapsed="false">
      <c r="A109" s="7" t="s">
        <v>163</v>
      </c>
      <c r="B109" s="7" t="s">
        <v>44</v>
      </c>
      <c r="C109" s="7" t="s">
        <v>30</v>
      </c>
      <c r="D109" s="7" t="s">
        <v>18</v>
      </c>
      <c r="E109" s="7" t="s">
        <v>58</v>
      </c>
      <c r="F109" s="7" t="n">
        <v>45</v>
      </c>
      <c r="G109" s="8" t="n">
        <v>8000</v>
      </c>
      <c r="H109" s="8" t="n">
        <v>360000</v>
      </c>
      <c r="I109" s="9" t="n">
        <v>20</v>
      </c>
      <c r="J109" s="8" t="n">
        <v>72000</v>
      </c>
      <c r="K109" s="8" t="n">
        <v>288000</v>
      </c>
      <c r="L109" s="8" t="n">
        <v>193198.81</v>
      </c>
      <c r="M109" s="8" t="n">
        <v>94801.19</v>
      </c>
      <c r="N109" s="10" t="n">
        <v>0.329170805453075</v>
      </c>
      <c r="O109" s="11" t="n">
        <f aca="true">NOW()</f>
        <v>46192.1876784841</v>
      </c>
    </row>
    <row r="110" customFormat="false" ht="15" hidden="false" customHeight="false" outlineLevel="0" collapsed="false">
      <c r="A110" s="2" t="s">
        <v>164</v>
      </c>
      <c r="B110" s="2" t="s">
        <v>48</v>
      </c>
      <c r="C110" s="2" t="s">
        <v>17</v>
      </c>
      <c r="D110" s="2" t="s">
        <v>37</v>
      </c>
      <c r="E110" s="2" t="s">
        <v>19</v>
      </c>
      <c r="F110" s="2" t="n">
        <v>35</v>
      </c>
      <c r="G110" s="3" t="n">
        <v>2000</v>
      </c>
      <c r="H110" s="3" t="n">
        <v>70000</v>
      </c>
      <c r="I110" s="4" t="n">
        <v>10</v>
      </c>
      <c r="J110" s="3" t="n">
        <v>7000</v>
      </c>
      <c r="K110" s="3" t="n">
        <v>63000</v>
      </c>
      <c r="L110" s="3" t="n">
        <v>35301.64</v>
      </c>
      <c r="M110" s="3" t="n">
        <v>27698.36</v>
      </c>
      <c r="N110" s="5" t="n">
        <v>0.439656489522054</v>
      </c>
      <c r="O110" s="6" t="n">
        <f aca="true">NOW()</f>
        <v>46192.1876784841</v>
      </c>
    </row>
    <row r="111" customFormat="false" ht="15" hidden="false" customHeight="false" outlineLevel="0" collapsed="false">
      <c r="A111" s="7" t="s">
        <v>165</v>
      </c>
      <c r="B111" s="7" t="s">
        <v>51</v>
      </c>
      <c r="C111" s="7" t="s">
        <v>41</v>
      </c>
      <c r="D111" s="7" t="s">
        <v>18</v>
      </c>
      <c r="E111" s="7" t="s">
        <v>23</v>
      </c>
      <c r="F111" s="7" t="n">
        <v>27</v>
      </c>
      <c r="G111" s="8" t="n">
        <v>2000</v>
      </c>
      <c r="H111" s="8" t="n">
        <v>54000</v>
      </c>
      <c r="I111" s="9" t="n">
        <v>0</v>
      </c>
      <c r="J111" s="8" t="n">
        <v>0</v>
      </c>
      <c r="K111" s="8" t="n">
        <v>54000</v>
      </c>
      <c r="L111" s="8" t="n">
        <v>33211.54</v>
      </c>
      <c r="M111" s="8" t="n">
        <v>20788.46</v>
      </c>
      <c r="N111" s="10" t="n">
        <v>0.384971489801123</v>
      </c>
      <c r="O111" s="11" t="n">
        <f aca="true">NOW()</f>
        <v>46192.1876784841</v>
      </c>
    </row>
    <row r="112" customFormat="false" ht="15" hidden="false" customHeight="false" outlineLevel="0" collapsed="false">
      <c r="A112" s="2" t="s">
        <v>166</v>
      </c>
      <c r="B112" s="2" t="s">
        <v>54</v>
      </c>
      <c r="C112" s="2" t="s">
        <v>41</v>
      </c>
      <c r="D112" s="2" t="s">
        <v>61</v>
      </c>
      <c r="E112" s="2" t="s">
        <v>27</v>
      </c>
      <c r="F112" s="2" t="n">
        <v>46</v>
      </c>
      <c r="G112" s="3" t="n">
        <v>25000</v>
      </c>
      <c r="H112" s="3" t="n">
        <v>1150000</v>
      </c>
      <c r="I112" s="4" t="n">
        <v>15</v>
      </c>
      <c r="J112" s="3" t="n">
        <v>172500</v>
      </c>
      <c r="K112" s="3" t="n">
        <v>977500</v>
      </c>
      <c r="L112" s="3" t="n">
        <v>563451.08</v>
      </c>
      <c r="M112" s="3" t="n">
        <v>414048.92</v>
      </c>
      <c r="N112" s="5" t="n">
        <v>0.423579455837091</v>
      </c>
      <c r="O112" s="6" t="n">
        <f aca="true">NOW()</f>
        <v>46192.1876784841</v>
      </c>
    </row>
    <row r="113" customFormat="false" ht="15" hidden="false" customHeight="false" outlineLevel="0" collapsed="false">
      <c r="A113" s="7" t="s">
        <v>167</v>
      </c>
      <c r="B113" s="7" t="s">
        <v>57</v>
      </c>
      <c r="C113" s="7" t="s">
        <v>41</v>
      </c>
      <c r="D113" s="7" t="s">
        <v>22</v>
      </c>
      <c r="E113" s="7" t="s">
        <v>31</v>
      </c>
      <c r="F113" s="7" t="n">
        <v>35</v>
      </c>
      <c r="G113" s="8" t="n">
        <v>2000</v>
      </c>
      <c r="H113" s="8" t="n">
        <v>70000</v>
      </c>
      <c r="I113" s="9" t="n">
        <v>15</v>
      </c>
      <c r="J113" s="8" t="n">
        <v>10500</v>
      </c>
      <c r="K113" s="8" t="n">
        <v>59500</v>
      </c>
      <c r="L113" s="8" t="n">
        <v>36612.5</v>
      </c>
      <c r="M113" s="8" t="n">
        <v>22887.5</v>
      </c>
      <c r="N113" s="10" t="n">
        <v>0.384663826049416</v>
      </c>
      <c r="O113" s="11" t="n">
        <f aca="true">NOW()</f>
        <v>46192.1876784841</v>
      </c>
    </row>
    <row r="114" customFormat="false" ht="15" hidden="false" customHeight="false" outlineLevel="0" collapsed="false">
      <c r="A114" s="2" t="s">
        <v>168</v>
      </c>
      <c r="B114" s="2" t="s">
        <v>60</v>
      </c>
      <c r="C114" s="2" t="s">
        <v>41</v>
      </c>
      <c r="D114" s="2" t="s">
        <v>37</v>
      </c>
      <c r="E114" s="2" t="s">
        <v>34</v>
      </c>
      <c r="F114" s="2" t="n">
        <v>16</v>
      </c>
      <c r="G114" s="3" t="n">
        <v>15000</v>
      </c>
      <c r="H114" s="3" t="n">
        <v>240000</v>
      </c>
      <c r="I114" s="4" t="n">
        <v>10</v>
      </c>
      <c r="J114" s="3" t="n">
        <v>24000</v>
      </c>
      <c r="K114" s="3" t="n">
        <v>216000</v>
      </c>
      <c r="L114" s="3" t="n">
        <v>147364.85</v>
      </c>
      <c r="M114" s="3" t="n">
        <v>68635.15</v>
      </c>
      <c r="N114" s="5" t="n">
        <v>0.317755322399584</v>
      </c>
      <c r="O114" s="6" t="n">
        <f aca="true">NOW()</f>
        <v>46192.1876784841</v>
      </c>
    </row>
    <row r="115" customFormat="false" ht="15" hidden="false" customHeight="false" outlineLevel="0" collapsed="false">
      <c r="A115" s="7" t="s">
        <v>169</v>
      </c>
      <c r="B115" s="7" t="s">
        <v>63</v>
      </c>
      <c r="C115" s="7" t="s">
        <v>30</v>
      </c>
      <c r="D115" s="7" t="s">
        <v>61</v>
      </c>
      <c r="E115" s="7" t="s">
        <v>38</v>
      </c>
      <c r="F115" s="7" t="n">
        <v>37</v>
      </c>
      <c r="G115" s="8" t="n">
        <v>12000</v>
      </c>
      <c r="H115" s="8" t="n">
        <v>444000</v>
      </c>
      <c r="I115" s="9" t="n">
        <v>15</v>
      </c>
      <c r="J115" s="8" t="n">
        <v>66600</v>
      </c>
      <c r="K115" s="8" t="n">
        <v>377400</v>
      </c>
      <c r="L115" s="8" t="n">
        <v>226613.41</v>
      </c>
      <c r="M115" s="8" t="n">
        <v>150786.59</v>
      </c>
      <c r="N115" s="10" t="n">
        <v>0.399540507016294</v>
      </c>
      <c r="O115" s="11" t="n">
        <f aca="true">NOW()</f>
        <v>46192.1876784841</v>
      </c>
    </row>
    <row r="116" customFormat="false" ht="15" hidden="false" customHeight="false" outlineLevel="0" collapsed="false">
      <c r="A116" s="2" t="s">
        <v>170</v>
      </c>
      <c r="B116" s="2" t="s">
        <v>65</v>
      </c>
      <c r="C116" s="2" t="s">
        <v>45</v>
      </c>
      <c r="D116" s="2" t="s">
        <v>37</v>
      </c>
      <c r="E116" s="2" t="s">
        <v>42</v>
      </c>
      <c r="F116" s="2" t="n">
        <v>12</v>
      </c>
      <c r="G116" s="3" t="n">
        <v>2000</v>
      </c>
      <c r="H116" s="3" t="n">
        <v>24000</v>
      </c>
      <c r="I116" s="4" t="n">
        <v>5</v>
      </c>
      <c r="J116" s="3" t="n">
        <v>1200</v>
      </c>
      <c r="K116" s="3" t="n">
        <v>22800</v>
      </c>
      <c r="L116" s="3" t="n">
        <v>13753.5</v>
      </c>
      <c r="M116" s="3" t="n">
        <v>9046.5</v>
      </c>
      <c r="N116" s="5" t="n">
        <v>0.396776255073586</v>
      </c>
      <c r="O116" s="6" t="n">
        <f aca="true">NOW()</f>
        <v>46192.1876784841</v>
      </c>
    </row>
    <row r="117" customFormat="false" ht="15" hidden="false" customHeight="false" outlineLevel="0" collapsed="false">
      <c r="A117" s="7" t="s">
        <v>171</v>
      </c>
      <c r="B117" s="7" t="s">
        <v>67</v>
      </c>
      <c r="C117" s="7" t="s">
        <v>41</v>
      </c>
      <c r="D117" s="7" t="s">
        <v>37</v>
      </c>
      <c r="E117" s="7" t="s">
        <v>46</v>
      </c>
      <c r="F117" s="7" t="n">
        <v>18</v>
      </c>
      <c r="G117" s="8" t="n">
        <v>12000</v>
      </c>
      <c r="H117" s="8" t="n">
        <v>216000</v>
      </c>
      <c r="I117" s="9" t="n">
        <v>10</v>
      </c>
      <c r="J117" s="8" t="n">
        <v>21600</v>
      </c>
      <c r="K117" s="8" t="n">
        <v>194400</v>
      </c>
      <c r="L117" s="8" t="n">
        <v>123126.87</v>
      </c>
      <c r="M117" s="8" t="n">
        <v>71273.13</v>
      </c>
      <c r="N117" s="10" t="n">
        <v>0.366631345812063</v>
      </c>
      <c r="O117" s="11" t="n">
        <f aca="true">NOW()</f>
        <v>46192.1876784841</v>
      </c>
    </row>
    <row r="118" customFormat="false" ht="15" hidden="false" customHeight="false" outlineLevel="0" collapsed="false">
      <c r="A118" s="2" t="s">
        <v>172</v>
      </c>
      <c r="B118" s="2" t="s">
        <v>69</v>
      </c>
      <c r="C118" s="2" t="s">
        <v>30</v>
      </c>
      <c r="D118" s="2" t="s">
        <v>18</v>
      </c>
      <c r="E118" s="2" t="s">
        <v>49</v>
      </c>
      <c r="F118" s="2" t="n">
        <v>16</v>
      </c>
      <c r="G118" s="3" t="n">
        <v>2000</v>
      </c>
      <c r="H118" s="3" t="n">
        <v>32000</v>
      </c>
      <c r="I118" s="4" t="n">
        <v>15</v>
      </c>
      <c r="J118" s="3" t="n">
        <v>4800</v>
      </c>
      <c r="K118" s="3" t="n">
        <v>27200</v>
      </c>
      <c r="L118" s="3" t="n">
        <v>17225.12</v>
      </c>
      <c r="M118" s="3" t="n">
        <v>9974.88</v>
      </c>
      <c r="N118" s="5" t="n">
        <v>0.366723568262721</v>
      </c>
      <c r="O118" s="6" t="n">
        <f aca="true">NOW()</f>
        <v>46192.1876784841</v>
      </c>
    </row>
    <row r="119" customFormat="false" ht="15" hidden="false" customHeight="false" outlineLevel="0" collapsed="false">
      <c r="A119" s="7" t="s">
        <v>173</v>
      </c>
      <c r="B119" s="7" t="s">
        <v>71</v>
      </c>
      <c r="C119" s="7" t="s">
        <v>30</v>
      </c>
      <c r="D119" s="7" t="s">
        <v>61</v>
      </c>
      <c r="E119" s="7" t="s">
        <v>52</v>
      </c>
      <c r="F119" s="7" t="n">
        <v>42</v>
      </c>
      <c r="G119" s="8" t="n">
        <v>2000</v>
      </c>
      <c r="H119" s="8" t="n">
        <v>84000</v>
      </c>
      <c r="I119" s="9" t="n">
        <v>15</v>
      </c>
      <c r="J119" s="8" t="n">
        <v>12600</v>
      </c>
      <c r="K119" s="8" t="n">
        <v>71400</v>
      </c>
      <c r="L119" s="8" t="n">
        <v>47762.31</v>
      </c>
      <c r="M119" s="8" t="n">
        <v>23637.69</v>
      </c>
      <c r="N119" s="10" t="n">
        <v>0.331060069780152</v>
      </c>
      <c r="O119" s="11" t="n">
        <f aca="true">NOW()</f>
        <v>46192.1876784841</v>
      </c>
    </row>
    <row r="120" customFormat="false" ht="15" hidden="false" customHeight="false" outlineLevel="0" collapsed="false">
      <c r="A120" s="2" t="s">
        <v>174</v>
      </c>
      <c r="B120" s="2" t="s">
        <v>73</v>
      </c>
      <c r="C120" s="2" t="s">
        <v>17</v>
      </c>
      <c r="D120" s="2" t="s">
        <v>37</v>
      </c>
      <c r="E120" s="2" t="s">
        <v>55</v>
      </c>
      <c r="F120" s="2" t="n">
        <v>15</v>
      </c>
      <c r="G120" s="3" t="n">
        <v>2000</v>
      </c>
      <c r="H120" s="3" t="n">
        <v>30000</v>
      </c>
      <c r="I120" s="4" t="n">
        <v>5</v>
      </c>
      <c r="J120" s="3" t="n">
        <v>1500</v>
      </c>
      <c r="K120" s="3" t="n">
        <v>28500</v>
      </c>
      <c r="L120" s="3" t="n">
        <v>16984.03</v>
      </c>
      <c r="M120" s="3" t="n">
        <v>11515.97</v>
      </c>
      <c r="N120" s="5" t="n">
        <v>0.404069095480487</v>
      </c>
      <c r="O120" s="6" t="n">
        <f aca="true">NOW()</f>
        <v>46192.1876784841</v>
      </c>
    </row>
    <row r="121" customFormat="false" ht="15" hidden="false" customHeight="false" outlineLevel="0" collapsed="false">
      <c r="A121" s="7" t="s">
        <v>175</v>
      </c>
      <c r="B121" s="7" t="s">
        <v>75</v>
      </c>
      <c r="C121" s="7" t="s">
        <v>41</v>
      </c>
      <c r="D121" s="7" t="s">
        <v>61</v>
      </c>
      <c r="E121" s="7" t="s">
        <v>58</v>
      </c>
      <c r="F121" s="7" t="n">
        <v>36</v>
      </c>
      <c r="G121" s="8" t="n">
        <v>12000</v>
      </c>
      <c r="H121" s="8" t="n">
        <v>432000</v>
      </c>
      <c r="I121" s="9" t="n">
        <v>10</v>
      </c>
      <c r="J121" s="8" t="n">
        <v>43200</v>
      </c>
      <c r="K121" s="8" t="n">
        <v>388800</v>
      </c>
      <c r="L121" s="8" t="n">
        <v>238655.38</v>
      </c>
      <c r="M121" s="8" t="n">
        <v>150144.62</v>
      </c>
      <c r="N121" s="10" t="n">
        <v>0.386174428094218</v>
      </c>
      <c r="O121" s="11" t="n">
        <f aca="true">NOW()</f>
        <v>46192.1876784841</v>
      </c>
    </row>
    <row r="122" customFormat="false" ht="15" hidden="false" customHeight="false" outlineLevel="0" collapsed="false">
      <c r="A122" s="2" t="s">
        <v>176</v>
      </c>
      <c r="B122" s="2" t="s">
        <v>16</v>
      </c>
      <c r="C122" s="2" t="s">
        <v>41</v>
      </c>
      <c r="D122" s="2" t="s">
        <v>37</v>
      </c>
      <c r="E122" s="2" t="s">
        <v>19</v>
      </c>
      <c r="F122" s="2" t="n">
        <v>45</v>
      </c>
      <c r="G122" s="3" t="n">
        <v>2000</v>
      </c>
      <c r="H122" s="3" t="n">
        <v>90000</v>
      </c>
      <c r="I122" s="4" t="n">
        <v>10</v>
      </c>
      <c r="J122" s="3" t="n">
        <v>9000</v>
      </c>
      <c r="K122" s="3" t="n">
        <v>81000</v>
      </c>
      <c r="L122" s="3" t="n">
        <v>48275.47</v>
      </c>
      <c r="M122" s="3" t="n">
        <v>32724.53</v>
      </c>
      <c r="N122" s="5" t="n">
        <v>0.404006551297675</v>
      </c>
      <c r="O122" s="6" t="n">
        <f aca="true">NOW()</f>
        <v>46192.1876784841</v>
      </c>
    </row>
    <row r="123" customFormat="false" ht="15" hidden="false" customHeight="false" outlineLevel="0" collapsed="false">
      <c r="A123" s="7" t="s">
        <v>177</v>
      </c>
      <c r="B123" s="7" t="s">
        <v>21</v>
      </c>
      <c r="C123" s="7" t="s">
        <v>30</v>
      </c>
      <c r="D123" s="7" t="s">
        <v>18</v>
      </c>
      <c r="E123" s="7" t="s">
        <v>23</v>
      </c>
      <c r="F123" s="7" t="n">
        <v>47</v>
      </c>
      <c r="G123" s="8" t="n">
        <v>25000</v>
      </c>
      <c r="H123" s="8" t="n">
        <v>1175000</v>
      </c>
      <c r="I123" s="9" t="n">
        <v>10</v>
      </c>
      <c r="J123" s="8" t="n">
        <v>117500</v>
      </c>
      <c r="K123" s="8" t="n">
        <v>1057500</v>
      </c>
      <c r="L123" s="8" t="n">
        <v>600589.37</v>
      </c>
      <c r="M123" s="8" t="n">
        <v>456910.63</v>
      </c>
      <c r="N123" s="10" t="n">
        <v>0.432066788811742</v>
      </c>
      <c r="O123" s="11" t="n">
        <f aca="true">NOW()</f>
        <v>46192.1876784841</v>
      </c>
    </row>
    <row r="124" customFormat="false" ht="15" hidden="false" customHeight="false" outlineLevel="0" collapsed="false">
      <c r="A124" s="2" t="s">
        <v>178</v>
      </c>
      <c r="B124" s="2" t="s">
        <v>25</v>
      </c>
      <c r="C124" s="2" t="s">
        <v>30</v>
      </c>
      <c r="D124" s="2" t="s">
        <v>26</v>
      </c>
      <c r="E124" s="2" t="s">
        <v>27</v>
      </c>
      <c r="F124" s="2" t="n">
        <v>14</v>
      </c>
      <c r="G124" s="3" t="n">
        <v>2000</v>
      </c>
      <c r="H124" s="3" t="n">
        <v>28000</v>
      </c>
      <c r="I124" s="4" t="n">
        <v>10</v>
      </c>
      <c r="J124" s="3" t="n">
        <v>2800</v>
      </c>
      <c r="K124" s="3" t="n">
        <v>25200</v>
      </c>
      <c r="L124" s="3" t="n">
        <v>16598.93</v>
      </c>
      <c r="M124" s="3" t="n">
        <v>8601.07</v>
      </c>
      <c r="N124" s="5" t="n">
        <v>0.341312249836042</v>
      </c>
      <c r="O124" s="6" t="n">
        <f aca="true">NOW()</f>
        <v>46192.1876784841</v>
      </c>
    </row>
    <row r="125" customFormat="false" ht="15" hidden="false" customHeight="false" outlineLevel="0" collapsed="false">
      <c r="A125" s="7" t="s">
        <v>179</v>
      </c>
      <c r="B125" s="7" t="s">
        <v>29</v>
      </c>
      <c r="C125" s="7" t="s">
        <v>41</v>
      </c>
      <c r="D125" s="7" t="s">
        <v>18</v>
      </c>
      <c r="E125" s="7" t="s">
        <v>31</v>
      </c>
      <c r="F125" s="7" t="n">
        <v>13</v>
      </c>
      <c r="G125" s="8" t="n">
        <v>8000</v>
      </c>
      <c r="H125" s="8" t="n">
        <v>104000</v>
      </c>
      <c r="I125" s="9" t="n">
        <v>5</v>
      </c>
      <c r="J125" s="8" t="n">
        <v>5200</v>
      </c>
      <c r="K125" s="8" t="n">
        <v>98800</v>
      </c>
      <c r="L125" s="8" t="n">
        <v>59688.26</v>
      </c>
      <c r="M125" s="8" t="n">
        <v>39111.74</v>
      </c>
      <c r="N125" s="10" t="n">
        <v>0.395867839627592</v>
      </c>
      <c r="O125" s="11" t="n">
        <f aca="true">NOW()</f>
        <v>46192.1876784841</v>
      </c>
    </row>
    <row r="126" customFormat="false" ht="15" hidden="false" customHeight="false" outlineLevel="0" collapsed="false">
      <c r="A126" s="2" t="s">
        <v>180</v>
      </c>
      <c r="B126" s="2" t="s">
        <v>33</v>
      </c>
      <c r="C126" s="2" t="s">
        <v>41</v>
      </c>
      <c r="D126" s="2" t="s">
        <v>18</v>
      </c>
      <c r="E126" s="2" t="s">
        <v>34</v>
      </c>
      <c r="F126" s="2" t="n">
        <v>46</v>
      </c>
      <c r="G126" s="3" t="n">
        <v>12000</v>
      </c>
      <c r="H126" s="3" t="n">
        <v>552000</v>
      </c>
      <c r="I126" s="4" t="n">
        <v>5</v>
      </c>
      <c r="J126" s="3" t="n">
        <v>27600</v>
      </c>
      <c r="K126" s="3" t="n">
        <v>524400</v>
      </c>
      <c r="L126" s="3" t="n">
        <v>309997.33</v>
      </c>
      <c r="M126" s="3" t="n">
        <v>214402.67</v>
      </c>
      <c r="N126" s="5" t="n">
        <v>0.40885330098251</v>
      </c>
      <c r="O126" s="6" t="n">
        <f aca="true">NOW()</f>
        <v>46192.1876784841</v>
      </c>
    </row>
    <row r="127" customFormat="false" ht="15" hidden="false" customHeight="false" outlineLevel="0" collapsed="false">
      <c r="A127" s="7" t="s">
        <v>181</v>
      </c>
      <c r="B127" s="7" t="s">
        <v>36</v>
      </c>
      <c r="C127" s="7" t="s">
        <v>17</v>
      </c>
      <c r="D127" s="7" t="s">
        <v>22</v>
      </c>
      <c r="E127" s="7" t="s">
        <v>38</v>
      </c>
      <c r="F127" s="7" t="n">
        <v>19</v>
      </c>
      <c r="G127" s="8" t="n">
        <v>25000</v>
      </c>
      <c r="H127" s="8" t="n">
        <v>475000</v>
      </c>
      <c r="I127" s="9" t="n">
        <v>15</v>
      </c>
      <c r="J127" s="8" t="n">
        <v>71250</v>
      </c>
      <c r="K127" s="8" t="n">
        <v>403750</v>
      </c>
      <c r="L127" s="8" t="n">
        <v>228275.46</v>
      </c>
      <c r="M127" s="8" t="n">
        <v>175474.54</v>
      </c>
      <c r="N127" s="10" t="n">
        <v>0.434611852981836</v>
      </c>
      <c r="O127" s="11" t="n">
        <f aca="true">NOW()</f>
        <v>46192.1876784841</v>
      </c>
    </row>
    <row r="128" customFormat="false" ht="15" hidden="false" customHeight="false" outlineLevel="0" collapsed="false">
      <c r="A128" s="2" t="s">
        <v>182</v>
      </c>
      <c r="B128" s="2" t="s">
        <v>40</v>
      </c>
      <c r="C128" s="2" t="s">
        <v>17</v>
      </c>
      <c r="D128" s="2" t="s">
        <v>22</v>
      </c>
      <c r="E128" s="2" t="s">
        <v>42</v>
      </c>
      <c r="F128" s="2" t="n">
        <v>19</v>
      </c>
      <c r="G128" s="3" t="n">
        <v>2000</v>
      </c>
      <c r="H128" s="3" t="n">
        <v>38000</v>
      </c>
      <c r="I128" s="4" t="n">
        <v>15</v>
      </c>
      <c r="J128" s="3" t="n">
        <v>5700</v>
      </c>
      <c r="K128" s="3" t="n">
        <v>32300</v>
      </c>
      <c r="L128" s="3" t="n">
        <v>19899.07</v>
      </c>
      <c r="M128" s="3" t="n">
        <v>12400.93</v>
      </c>
      <c r="N128" s="5" t="n">
        <v>0.383929680279598</v>
      </c>
      <c r="O128" s="6" t="n">
        <f aca="true">NOW()</f>
        <v>46192.1876784841</v>
      </c>
    </row>
    <row r="129" customFormat="false" ht="15" hidden="false" customHeight="false" outlineLevel="0" collapsed="false">
      <c r="A129" s="7" t="s">
        <v>183</v>
      </c>
      <c r="B129" s="7" t="s">
        <v>44</v>
      </c>
      <c r="C129" s="7" t="s">
        <v>30</v>
      </c>
      <c r="D129" s="7" t="s">
        <v>18</v>
      </c>
      <c r="E129" s="7" t="s">
        <v>46</v>
      </c>
      <c r="F129" s="7" t="n">
        <v>17</v>
      </c>
      <c r="G129" s="8" t="n">
        <v>2000</v>
      </c>
      <c r="H129" s="8" t="n">
        <v>34000</v>
      </c>
      <c r="I129" s="9" t="n">
        <v>0</v>
      </c>
      <c r="J129" s="8" t="n">
        <v>0</v>
      </c>
      <c r="K129" s="8" t="n">
        <v>34000</v>
      </c>
      <c r="L129" s="8" t="n">
        <v>22892.79</v>
      </c>
      <c r="M129" s="8" t="n">
        <v>11107.21</v>
      </c>
      <c r="N129" s="10" t="n">
        <v>0.326682653205085</v>
      </c>
      <c r="O129" s="11" t="n">
        <f aca="true">NOW()</f>
        <v>46192.1876784841</v>
      </c>
    </row>
    <row r="130" customFormat="false" ht="15" hidden="false" customHeight="false" outlineLevel="0" collapsed="false">
      <c r="A130" s="2" t="s">
        <v>184</v>
      </c>
      <c r="B130" s="2" t="s">
        <v>48</v>
      </c>
      <c r="C130" s="2" t="s">
        <v>45</v>
      </c>
      <c r="D130" s="2" t="s">
        <v>61</v>
      </c>
      <c r="E130" s="2" t="s">
        <v>49</v>
      </c>
      <c r="F130" s="2" t="n">
        <v>5</v>
      </c>
      <c r="G130" s="3" t="n">
        <v>12000</v>
      </c>
      <c r="H130" s="3" t="n">
        <v>60000</v>
      </c>
      <c r="I130" s="4" t="n">
        <v>0</v>
      </c>
      <c r="J130" s="3" t="n">
        <v>0</v>
      </c>
      <c r="K130" s="3" t="n">
        <v>60000</v>
      </c>
      <c r="L130" s="3" t="n">
        <v>34365.54</v>
      </c>
      <c r="M130" s="3" t="n">
        <v>25634.46</v>
      </c>
      <c r="N130" s="5" t="n">
        <v>0.427240948957357</v>
      </c>
      <c r="O130" s="6" t="n">
        <f aca="true">NOW()</f>
        <v>46192.1876784841</v>
      </c>
    </row>
    <row r="131" customFormat="false" ht="15" hidden="false" customHeight="false" outlineLevel="0" collapsed="false">
      <c r="A131" s="7" t="s">
        <v>185</v>
      </c>
      <c r="B131" s="7" t="s">
        <v>51</v>
      </c>
      <c r="C131" s="7" t="s">
        <v>41</v>
      </c>
      <c r="D131" s="7" t="s">
        <v>18</v>
      </c>
      <c r="E131" s="7" t="s">
        <v>52</v>
      </c>
      <c r="F131" s="7" t="n">
        <v>16</v>
      </c>
      <c r="G131" s="8" t="n">
        <v>15000</v>
      </c>
      <c r="H131" s="8" t="n">
        <v>240000</v>
      </c>
      <c r="I131" s="9" t="n">
        <v>20</v>
      </c>
      <c r="J131" s="8" t="n">
        <v>48000</v>
      </c>
      <c r="K131" s="8" t="n">
        <v>192000</v>
      </c>
      <c r="L131" s="8" t="n">
        <v>127615.97</v>
      </c>
      <c r="M131" s="8" t="n">
        <v>64384.03</v>
      </c>
      <c r="N131" s="10" t="n">
        <v>0.335333483201071</v>
      </c>
      <c r="O131" s="11" t="n">
        <f aca="true">NOW()</f>
        <v>46192.1876784841</v>
      </c>
    </row>
    <row r="132" customFormat="false" ht="15" hidden="false" customHeight="false" outlineLevel="0" collapsed="false">
      <c r="A132" s="2" t="s">
        <v>186</v>
      </c>
      <c r="B132" s="2" t="s">
        <v>54</v>
      </c>
      <c r="C132" s="2" t="s">
        <v>30</v>
      </c>
      <c r="D132" s="2" t="s">
        <v>22</v>
      </c>
      <c r="E132" s="2" t="s">
        <v>55</v>
      </c>
      <c r="F132" s="2" t="n">
        <v>25</v>
      </c>
      <c r="G132" s="3" t="n">
        <v>2000</v>
      </c>
      <c r="H132" s="3" t="n">
        <v>50000</v>
      </c>
      <c r="I132" s="4" t="n">
        <v>15</v>
      </c>
      <c r="J132" s="3" t="n">
        <v>7500</v>
      </c>
      <c r="K132" s="3" t="n">
        <v>42500</v>
      </c>
      <c r="L132" s="3" t="n">
        <v>25270.63</v>
      </c>
      <c r="M132" s="3" t="n">
        <v>17229.37</v>
      </c>
      <c r="N132" s="5" t="n">
        <v>0.405397030122392</v>
      </c>
      <c r="O132" s="6" t="n">
        <f aca="true">NOW()</f>
        <v>46192.1876784841</v>
      </c>
    </row>
    <row r="133" customFormat="false" ht="15" hidden="false" customHeight="false" outlineLevel="0" collapsed="false">
      <c r="A133" s="7" t="s">
        <v>187</v>
      </c>
      <c r="B133" s="7" t="s">
        <v>57</v>
      </c>
      <c r="C133" s="7" t="s">
        <v>45</v>
      </c>
      <c r="D133" s="7" t="s">
        <v>37</v>
      </c>
      <c r="E133" s="7" t="s">
        <v>58</v>
      </c>
      <c r="F133" s="7" t="n">
        <v>37</v>
      </c>
      <c r="G133" s="8" t="n">
        <v>12000</v>
      </c>
      <c r="H133" s="8" t="n">
        <v>444000</v>
      </c>
      <c r="I133" s="9" t="n">
        <v>0</v>
      </c>
      <c r="J133" s="8" t="n">
        <v>0</v>
      </c>
      <c r="K133" s="8" t="n">
        <v>444000</v>
      </c>
      <c r="L133" s="8" t="n">
        <v>284801.42</v>
      </c>
      <c r="M133" s="8" t="n">
        <v>159198.58</v>
      </c>
      <c r="N133" s="10" t="n">
        <v>0.358555363163231</v>
      </c>
      <c r="O133" s="11" t="n">
        <f aca="true">NOW()</f>
        <v>46192.1876784841</v>
      </c>
    </row>
    <row r="134" customFormat="false" ht="15" hidden="false" customHeight="false" outlineLevel="0" collapsed="false">
      <c r="A134" s="2" t="s">
        <v>188</v>
      </c>
      <c r="B134" s="2" t="s">
        <v>60</v>
      </c>
      <c r="C134" s="2" t="s">
        <v>17</v>
      </c>
      <c r="D134" s="2" t="s">
        <v>26</v>
      </c>
      <c r="E134" s="2" t="s">
        <v>19</v>
      </c>
      <c r="F134" s="2" t="n">
        <v>41</v>
      </c>
      <c r="G134" s="3" t="n">
        <v>25000</v>
      </c>
      <c r="H134" s="3" t="n">
        <v>1025000</v>
      </c>
      <c r="I134" s="4" t="n">
        <v>10</v>
      </c>
      <c r="J134" s="3" t="n">
        <v>102500</v>
      </c>
      <c r="K134" s="3" t="n">
        <v>922500</v>
      </c>
      <c r="L134" s="3" t="n">
        <v>598761.74</v>
      </c>
      <c r="M134" s="3" t="n">
        <v>323738.26</v>
      </c>
      <c r="N134" s="5" t="n">
        <v>0.350935779421195</v>
      </c>
      <c r="O134" s="6" t="n">
        <f aca="true">NOW()</f>
        <v>46192.1876784842</v>
      </c>
    </row>
    <row r="135" customFormat="false" ht="15" hidden="false" customHeight="false" outlineLevel="0" collapsed="false">
      <c r="A135" s="7" t="s">
        <v>189</v>
      </c>
      <c r="B135" s="7" t="s">
        <v>63</v>
      </c>
      <c r="C135" s="7" t="s">
        <v>30</v>
      </c>
      <c r="D135" s="7" t="s">
        <v>26</v>
      </c>
      <c r="E135" s="7" t="s">
        <v>23</v>
      </c>
      <c r="F135" s="7" t="n">
        <v>12</v>
      </c>
      <c r="G135" s="8" t="n">
        <v>12000</v>
      </c>
      <c r="H135" s="8" t="n">
        <v>144000</v>
      </c>
      <c r="I135" s="9" t="n">
        <v>0</v>
      </c>
      <c r="J135" s="8" t="n">
        <v>0</v>
      </c>
      <c r="K135" s="8" t="n">
        <v>144000</v>
      </c>
      <c r="L135" s="8" t="n">
        <v>82581.1</v>
      </c>
      <c r="M135" s="8" t="n">
        <v>61418.9</v>
      </c>
      <c r="N135" s="10" t="n">
        <v>0.426520107683529</v>
      </c>
      <c r="O135" s="11" t="n">
        <f aca="true">NOW()</f>
        <v>46192.1876784842</v>
      </c>
    </row>
    <row r="136" customFormat="false" ht="15" hidden="false" customHeight="false" outlineLevel="0" collapsed="false">
      <c r="A136" s="2" t="s">
        <v>190</v>
      </c>
      <c r="B136" s="2" t="s">
        <v>65</v>
      </c>
      <c r="C136" s="2" t="s">
        <v>45</v>
      </c>
      <c r="D136" s="2" t="s">
        <v>61</v>
      </c>
      <c r="E136" s="2" t="s">
        <v>27</v>
      </c>
      <c r="F136" s="2" t="n">
        <v>45</v>
      </c>
      <c r="G136" s="3" t="n">
        <v>12000</v>
      </c>
      <c r="H136" s="3" t="n">
        <v>540000</v>
      </c>
      <c r="I136" s="4" t="n">
        <v>15</v>
      </c>
      <c r="J136" s="3" t="n">
        <v>81000</v>
      </c>
      <c r="K136" s="3" t="n">
        <v>459000</v>
      </c>
      <c r="L136" s="3" t="n">
        <v>272503.2</v>
      </c>
      <c r="M136" s="3" t="n">
        <v>186496.8</v>
      </c>
      <c r="N136" s="5" t="n">
        <v>0.406311106645346</v>
      </c>
      <c r="O136" s="6" t="n">
        <f aca="true">NOW()</f>
        <v>46192.1876784842</v>
      </c>
    </row>
    <row r="137" customFormat="false" ht="15" hidden="false" customHeight="false" outlineLevel="0" collapsed="false">
      <c r="A137" s="7" t="s">
        <v>191</v>
      </c>
      <c r="B137" s="7" t="s">
        <v>67</v>
      </c>
      <c r="C137" s="7" t="s">
        <v>30</v>
      </c>
      <c r="D137" s="7" t="s">
        <v>37</v>
      </c>
      <c r="E137" s="7" t="s">
        <v>31</v>
      </c>
      <c r="F137" s="7" t="n">
        <v>46</v>
      </c>
      <c r="G137" s="8" t="n">
        <v>8000</v>
      </c>
      <c r="H137" s="8" t="n">
        <v>368000</v>
      </c>
      <c r="I137" s="9" t="n">
        <v>15</v>
      </c>
      <c r="J137" s="8" t="n">
        <v>55200</v>
      </c>
      <c r="K137" s="8" t="n">
        <v>312800</v>
      </c>
      <c r="L137" s="8" t="n">
        <v>175379.75</v>
      </c>
      <c r="M137" s="8" t="n">
        <v>137420.25</v>
      </c>
      <c r="N137" s="10" t="n">
        <v>0.439323035976978</v>
      </c>
      <c r="O137" s="11" t="n">
        <f aca="true">NOW()</f>
        <v>46192.1876784842</v>
      </c>
    </row>
    <row r="138" customFormat="false" ht="15" hidden="false" customHeight="false" outlineLevel="0" collapsed="false">
      <c r="A138" s="2" t="s">
        <v>192</v>
      </c>
      <c r="B138" s="2" t="s">
        <v>69</v>
      </c>
      <c r="C138" s="2" t="s">
        <v>30</v>
      </c>
      <c r="D138" s="2" t="s">
        <v>37</v>
      </c>
      <c r="E138" s="2" t="s">
        <v>34</v>
      </c>
      <c r="F138" s="2" t="n">
        <v>41</v>
      </c>
      <c r="G138" s="3" t="n">
        <v>12000</v>
      </c>
      <c r="H138" s="3" t="n">
        <v>492000</v>
      </c>
      <c r="I138" s="4" t="n">
        <v>5</v>
      </c>
      <c r="J138" s="3" t="n">
        <v>24600</v>
      </c>
      <c r="K138" s="3" t="n">
        <v>467400</v>
      </c>
      <c r="L138" s="3" t="n">
        <v>286876.49</v>
      </c>
      <c r="M138" s="3" t="n">
        <v>180523.51</v>
      </c>
      <c r="N138" s="5" t="n">
        <v>0.386229155084368</v>
      </c>
      <c r="O138" s="6" t="n">
        <f aca="true">NOW()</f>
        <v>46192.1876784842</v>
      </c>
    </row>
    <row r="139" customFormat="false" ht="15" hidden="false" customHeight="false" outlineLevel="0" collapsed="false">
      <c r="A139" s="7" t="s">
        <v>193</v>
      </c>
      <c r="B139" s="7" t="s">
        <v>71</v>
      </c>
      <c r="C139" s="7" t="s">
        <v>30</v>
      </c>
      <c r="D139" s="7" t="s">
        <v>26</v>
      </c>
      <c r="E139" s="7" t="s">
        <v>38</v>
      </c>
      <c r="F139" s="7" t="n">
        <v>18</v>
      </c>
      <c r="G139" s="8" t="n">
        <v>25000</v>
      </c>
      <c r="H139" s="8" t="n">
        <v>450000</v>
      </c>
      <c r="I139" s="9" t="n">
        <v>0</v>
      </c>
      <c r="J139" s="8" t="n">
        <v>0</v>
      </c>
      <c r="K139" s="8" t="n">
        <v>450000</v>
      </c>
      <c r="L139" s="8" t="n">
        <v>251525.57</v>
      </c>
      <c r="M139" s="8" t="n">
        <v>198474.43</v>
      </c>
      <c r="N139" s="10" t="n">
        <v>0.441054294072923</v>
      </c>
      <c r="O139" s="11" t="n">
        <f aca="true">NOW()</f>
        <v>46192.1876784842</v>
      </c>
    </row>
    <row r="140" customFormat="false" ht="15" hidden="false" customHeight="false" outlineLevel="0" collapsed="false">
      <c r="A140" s="2" t="s">
        <v>194</v>
      </c>
      <c r="B140" s="2" t="s">
        <v>73</v>
      </c>
      <c r="C140" s="2" t="s">
        <v>41</v>
      </c>
      <c r="D140" s="2" t="s">
        <v>22</v>
      </c>
      <c r="E140" s="2" t="s">
        <v>42</v>
      </c>
      <c r="F140" s="2" t="n">
        <v>48</v>
      </c>
      <c r="G140" s="3" t="n">
        <v>12000</v>
      </c>
      <c r="H140" s="3" t="n">
        <v>576000</v>
      </c>
      <c r="I140" s="4" t="n">
        <v>10</v>
      </c>
      <c r="J140" s="3" t="n">
        <v>57600</v>
      </c>
      <c r="K140" s="3" t="n">
        <v>518400</v>
      </c>
      <c r="L140" s="3" t="n">
        <v>319268.57</v>
      </c>
      <c r="M140" s="3" t="n">
        <v>199131.43</v>
      </c>
      <c r="N140" s="5" t="n">
        <v>0.38412698269894</v>
      </c>
      <c r="O140" s="6" t="n">
        <f aca="true">NOW()</f>
        <v>46192.1876784842</v>
      </c>
    </row>
    <row r="141" customFormat="false" ht="15" hidden="false" customHeight="false" outlineLevel="0" collapsed="false">
      <c r="A141" s="7" t="s">
        <v>195</v>
      </c>
      <c r="B141" s="7" t="s">
        <v>75</v>
      </c>
      <c r="C141" s="7" t="s">
        <v>45</v>
      </c>
      <c r="D141" s="7" t="s">
        <v>37</v>
      </c>
      <c r="E141" s="7" t="s">
        <v>46</v>
      </c>
      <c r="F141" s="7" t="n">
        <v>45</v>
      </c>
      <c r="G141" s="8" t="n">
        <v>2000</v>
      </c>
      <c r="H141" s="8" t="n">
        <v>90000</v>
      </c>
      <c r="I141" s="9" t="n">
        <v>10</v>
      </c>
      <c r="J141" s="8" t="n">
        <v>9000</v>
      </c>
      <c r="K141" s="8" t="n">
        <v>81000</v>
      </c>
      <c r="L141" s="8" t="n">
        <v>50630.74</v>
      </c>
      <c r="M141" s="8" t="n">
        <v>30369.26</v>
      </c>
      <c r="N141" s="10" t="n">
        <v>0.374929173432311</v>
      </c>
      <c r="O141" s="11" t="n">
        <f aca="true">NOW()</f>
        <v>46192.1876784842</v>
      </c>
    </row>
    <row r="142" customFormat="false" ht="15" hidden="false" customHeight="false" outlineLevel="0" collapsed="false">
      <c r="A142" s="2" t="s">
        <v>196</v>
      </c>
      <c r="B142" s="2" t="s">
        <v>16</v>
      </c>
      <c r="C142" s="2" t="s">
        <v>45</v>
      </c>
      <c r="D142" s="2" t="s">
        <v>61</v>
      </c>
      <c r="E142" s="2" t="s">
        <v>49</v>
      </c>
      <c r="F142" s="2" t="n">
        <v>6</v>
      </c>
      <c r="G142" s="3" t="n">
        <v>12000</v>
      </c>
      <c r="H142" s="3" t="n">
        <v>72000</v>
      </c>
      <c r="I142" s="4" t="n">
        <v>0</v>
      </c>
      <c r="J142" s="3" t="n">
        <v>0</v>
      </c>
      <c r="K142" s="3" t="n">
        <v>72000</v>
      </c>
      <c r="L142" s="3" t="n">
        <v>49205.77</v>
      </c>
      <c r="M142" s="3" t="n">
        <v>22794.23</v>
      </c>
      <c r="N142" s="5" t="n">
        <v>0.316586566606132</v>
      </c>
      <c r="O142" s="6" t="n">
        <f aca="true">NOW()</f>
        <v>46192.1876784842</v>
      </c>
    </row>
    <row r="143" customFormat="false" ht="15" hidden="false" customHeight="false" outlineLevel="0" collapsed="false">
      <c r="A143" s="7" t="s">
        <v>197</v>
      </c>
      <c r="B143" s="7" t="s">
        <v>21</v>
      </c>
      <c r="C143" s="7" t="s">
        <v>41</v>
      </c>
      <c r="D143" s="7" t="s">
        <v>22</v>
      </c>
      <c r="E143" s="7" t="s">
        <v>52</v>
      </c>
      <c r="F143" s="7" t="n">
        <v>17</v>
      </c>
      <c r="G143" s="8" t="n">
        <v>15000</v>
      </c>
      <c r="H143" s="8" t="n">
        <v>255000</v>
      </c>
      <c r="I143" s="9" t="n">
        <v>0</v>
      </c>
      <c r="J143" s="8" t="n">
        <v>0</v>
      </c>
      <c r="K143" s="8" t="n">
        <v>255000</v>
      </c>
      <c r="L143" s="8" t="n">
        <v>149006.36</v>
      </c>
      <c r="M143" s="8" t="n">
        <v>105993.64</v>
      </c>
      <c r="N143" s="10" t="n">
        <v>0.415661337641726</v>
      </c>
      <c r="O143" s="11" t="n">
        <f aca="true">NOW()</f>
        <v>46192.1876784842</v>
      </c>
    </row>
    <row r="144" customFormat="false" ht="15" hidden="false" customHeight="false" outlineLevel="0" collapsed="false">
      <c r="A144" s="2" t="s">
        <v>198</v>
      </c>
      <c r="B144" s="2" t="s">
        <v>25</v>
      </c>
      <c r="C144" s="2" t="s">
        <v>17</v>
      </c>
      <c r="D144" s="2" t="s">
        <v>37</v>
      </c>
      <c r="E144" s="2" t="s">
        <v>55</v>
      </c>
      <c r="F144" s="2" t="n">
        <v>37</v>
      </c>
      <c r="G144" s="3" t="n">
        <v>15000</v>
      </c>
      <c r="H144" s="3" t="n">
        <v>555000</v>
      </c>
      <c r="I144" s="4" t="n">
        <v>5</v>
      </c>
      <c r="J144" s="3" t="n">
        <v>27750</v>
      </c>
      <c r="K144" s="3" t="n">
        <v>527250</v>
      </c>
      <c r="L144" s="3" t="n">
        <v>327198.23</v>
      </c>
      <c r="M144" s="3" t="n">
        <v>200051.77</v>
      </c>
      <c r="N144" s="5" t="n">
        <v>0.379424876512255</v>
      </c>
      <c r="O144" s="6" t="n">
        <f aca="true">NOW()</f>
        <v>46192.1876784842</v>
      </c>
    </row>
    <row r="145" customFormat="false" ht="15" hidden="false" customHeight="false" outlineLevel="0" collapsed="false">
      <c r="A145" s="7" t="s">
        <v>199</v>
      </c>
      <c r="B145" s="7" t="s">
        <v>29</v>
      </c>
      <c r="C145" s="7" t="s">
        <v>45</v>
      </c>
      <c r="D145" s="7" t="s">
        <v>37</v>
      </c>
      <c r="E145" s="7" t="s">
        <v>58</v>
      </c>
      <c r="F145" s="7" t="n">
        <v>12</v>
      </c>
      <c r="G145" s="8" t="n">
        <v>12000</v>
      </c>
      <c r="H145" s="8" t="n">
        <v>144000</v>
      </c>
      <c r="I145" s="9" t="n">
        <v>15</v>
      </c>
      <c r="J145" s="8" t="n">
        <v>21600</v>
      </c>
      <c r="K145" s="8" t="n">
        <v>122400</v>
      </c>
      <c r="L145" s="8" t="n">
        <v>78974.65</v>
      </c>
      <c r="M145" s="8" t="n">
        <v>43425.35</v>
      </c>
      <c r="N145" s="10" t="n">
        <v>0.354782292081887</v>
      </c>
      <c r="O145" s="11" t="n">
        <f aca="true">NOW()</f>
        <v>46192.1876784842</v>
      </c>
    </row>
    <row r="146" customFormat="false" ht="15" hidden="false" customHeight="false" outlineLevel="0" collapsed="false">
      <c r="A146" s="2" t="s">
        <v>200</v>
      </c>
      <c r="B146" s="2" t="s">
        <v>33</v>
      </c>
      <c r="C146" s="2" t="s">
        <v>45</v>
      </c>
      <c r="D146" s="2" t="s">
        <v>18</v>
      </c>
      <c r="E146" s="2" t="s">
        <v>19</v>
      </c>
      <c r="F146" s="2" t="n">
        <v>31</v>
      </c>
      <c r="G146" s="3" t="n">
        <v>8000</v>
      </c>
      <c r="H146" s="3" t="n">
        <v>248000</v>
      </c>
      <c r="I146" s="4" t="n">
        <v>15</v>
      </c>
      <c r="J146" s="3" t="n">
        <v>37200</v>
      </c>
      <c r="K146" s="3" t="n">
        <v>210800</v>
      </c>
      <c r="L146" s="3" t="n">
        <v>126479.21</v>
      </c>
      <c r="M146" s="3" t="n">
        <v>84320.79</v>
      </c>
      <c r="N146" s="5" t="n">
        <v>0.400003740950236</v>
      </c>
      <c r="O146" s="6" t="n">
        <f aca="true">NOW()</f>
        <v>46192.1876784842</v>
      </c>
    </row>
    <row r="147" customFormat="false" ht="15" hidden="false" customHeight="false" outlineLevel="0" collapsed="false">
      <c r="A147" s="7" t="s">
        <v>201</v>
      </c>
      <c r="B147" s="7" t="s">
        <v>36</v>
      </c>
      <c r="C147" s="7" t="s">
        <v>17</v>
      </c>
      <c r="D147" s="7" t="s">
        <v>26</v>
      </c>
      <c r="E147" s="7" t="s">
        <v>23</v>
      </c>
      <c r="F147" s="7" t="n">
        <v>22</v>
      </c>
      <c r="G147" s="8" t="n">
        <v>2000</v>
      </c>
      <c r="H147" s="8" t="n">
        <v>44000</v>
      </c>
      <c r="I147" s="9" t="n">
        <v>15</v>
      </c>
      <c r="J147" s="8" t="n">
        <v>6600</v>
      </c>
      <c r="K147" s="8" t="n">
        <v>37400</v>
      </c>
      <c r="L147" s="8" t="n">
        <v>22186.9</v>
      </c>
      <c r="M147" s="8" t="n">
        <v>15213.1</v>
      </c>
      <c r="N147" s="10" t="n">
        <v>0.406767330695782</v>
      </c>
      <c r="O147" s="11" t="n">
        <f aca="true">NOW()</f>
        <v>46192.1876784842</v>
      </c>
    </row>
    <row r="148" customFormat="false" ht="15" hidden="false" customHeight="false" outlineLevel="0" collapsed="false">
      <c r="A148" s="2" t="s">
        <v>202</v>
      </c>
      <c r="B148" s="2" t="s">
        <v>40</v>
      </c>
      <c r="C148" s="2" t="s">
        <v>45</v>
      </c>
      <c r="D148" s="2" t="s">
        <v>22</v>
      </c>
      <c r="E148" s="2" t="s">
        <v>27</v>
      </c>
      <c r="F148" s="2" t="n">
        <v>3</v>
      </c>
      <c r="G148" s="3" t="n">
        <v>2000</v>
      </c>
      <c r="H148" s="3" t="n">
        <v>6000</v>
      </c>
      <c r="I148" s="4" t="n">
        <v>0</v>
      </c>
      <c r="J148" s="3" t="n">
        <v>0</v>
      </c>
      <c r="K148" s="3" t="n">
        <v>6000</v>
      </c>
      <c r="L148" s="3" t="n">
        <v>3583.07</v>
      </c>
      <c r="M148" s="3" t="n">
        <v>2416.93</v>
      </c>
      <c r="N148" s="5" t="n">
        <v>0.402822426424475</v>
      </c>
      <c r="O148" s="6" t="n">
        <f aca="true">NOW()</f>
        <v>46192.1876784842</v>
      </c>
    </row>
    <row r="149" customFormat="false" ht="15" hidden="false" customHeight="false" outlineLevel="0" collapsed="false">
      <c r="A149" s="7" t="s">
        <v>203</v>
      </c>
      <c r="B149" s="7" t="s">
        <v>44</v>
      </c>
      <c r="C149" s="7" t="s">
        <v>41</v>
      </c>
      <c r="D149" s="7" t="s">
        <v>18</v>
      </c>
      <c r="E149" s="7" t="s">
        <v>31</v>
      </c>
      <c r="F149" s="7" t="n">
        <v>50</v>
      </c>
      <c r="G149" s="8" t="n">
        <v>2000</v>
      </c>
      <c r="H149" s="8" t="n">
        <v>100000</v>
      </c>
      <c r="I149" s="9" t="n">
        <v>20</v>
      </c>
      <c r="J149" s="8" t="n">
        <v>20000</v>
      </c>
      <c r="K149" s="8" t="n">
        <v>80000</v>
      </c>
      <c r="L149" s="8" t="n">
        <v>53899.13</v>
      </c>
      <c r="M149" s="8" t="n">
        <v>26100.87</v>
      </c>
      <c r="N149" s="10" t="n">
        <v>0.326260919509695</v>
      </c>
      <c r="O149" s="11" t="n">
        <f aca="true">NOW()</f>
        <v>46192.1876784842</v>
      </c>
    </row>
    <row r="150" customFormat="false" ht="15" hidden="false" customHeight="false" outlineLevel="0" collapsed="false">
      <c r="A150" s="2" t="s">
        <v>204</v>
      </c>
      <c r="B150" s="2" t="s">
        <v>48</v>
      </c>
      <c r="C150" s="2" t="s">
        <v>17</v>
      </c>
      <c r="D150" s="2" t="s">
        <v>22</v>
      </c>
      <c r="E150" s="2" t="s">
        <v>34</v>
      </c>
      <c r="F150" s="2" t="n">
        <v>30</v>
      </c>
      <c r="G150" s="3" t="n">
        <v>2000</v>
      </c>
      <c r="H150" s="3" t="n">
        <v>60000</v>
      </c>
      <c r="I150" s="4" t="n">
        <v>0</v>
      </c>
      <c r="J150" s="3" t="n">
        <v>0</v>
      </c>
      <c r="K150" s="3" t="n">
        <v>60000</v>
      </c>
      <c r="L150" s="3" t="n">
        <v>34688.24</v>
      </c>
      <c r="M150" s="3" t="n">
        <v>25311.76</v>
      </c>
      <c r="N150" s="5" t="n">
        <v>0.421862618790821</v>
      </c>
      <c r="O150" s="6" t="n">
        <f aca="true">NOW()</f>
        <v>46192.1876784842</v>
      </c>
    </row>
    <row r="151" customFormat="false" ht="15" hidden="false" customHeight="false" outlineLevel="0" collapsed="false">
      <c r="A151" s="7" t="s">
        <v>205</v>
      </c>
      <c r="B151" s="7" t="s">
        <v>51</v>
      </c>
      <c r="C151" s="7" t="s">
        <v>41</v>
      </c>
      <c r="D151" s="7" t="s">
        <v>22</v>
      </c>
      <c r="E151" s="7" t="s">
        <v>38</v>
      </c>
      <c r="F151" s="7" t="n">
        <v>49</v>
      </c>
      <c r="G151" s="8" t="n">
        <v>2000</v>
      </c>
      <c r="H151" s="8" t="n">
        <v>98000</v>
      </c>
      <c r="I151" s="9" t="n">
        <v>15</v>
      </c>
      <c r="J151" s="8" t="n">
        <v>14700</v>
      </c>
      <c r="K151" s="8" t="n">
        <v>83300</v>
      </c>
      <c r="L151" s="8" t="n">
        <v>55311.08</v>
      </c>
      <c r="M151" s="8" t="n">
        <v>27988.92</v>
      </c>
      <c r="N151" s="10" t="n">
        <v>0.336001419590848</v>
      </c>
      <c r="O151" s="11" t="n">
        <f aca="true">NOW()</f>
        <v>46192.1876784842</v>
      </c>
    </row>
    <row r="152" customFormat="false" ht="15" hidden="false" customHeight="false" outlineLevel="0" collapsed="false">
      <c r="A152" s="2" t="s">
        <v>206</v>
      </c>
      <c r="B152" s="2" t="s">
        <v>54</v>
      </c>
      <c r="C152" s="2" t="s">
        <v>30</v>
      </c>
      <c r="D152" s="2" t="s">
        <v>37</v>
      </c>
      <c r="E152" s="2" t="s">
        <v>42</v>
      </c>
      <c r="F152" s="2" t="n">
        <v>36</v>
      </c>
      <c r="G152" s="3" t="n">
        <v>25000</v>
      </c>
      <c r="H152" s="3" t="n">
        <v>900000</v>
      </c>
      <c r="I152" s="4" t="n">
        <v>10</v>
      </c>
      <c r="J152" s="3" t="n">
        <v>90000</v>
      </c>
      <c r="K152" s="3" t="n">
        <v>810000</v>
      </c>
      <c r="L152" s="3" t="n">
        <v>498731.11</v>
      </c>
      <c r="M152" s="3" t="n">
        <v>311268.89</v>
      </c>
      <c r="N152" s="5" t="n">
        <v>0.384282585739143</v>
      </c>
      <c r="O152" s="6" t="n">
        <f aca="true">NOW()</f>
        <v>46192.1876784842</v>
      </c>
    </row>
    <row r="153" customFormat="false" ht="15" hidden="false" customHeight="false" outlineLevel="0" collapsed="false">
      <c r="A153" s="7" t="s">
        <v>207</v>
      </c>
      <c r="B153" s="7" t="s">
        <v>57</v>
      </c>
      <c r="C153" s="7" t="s">
        <v>45</v>
      </c>
      <c r="D153" s="7" t="s">
        <v>18</v>
      </c>
      <c r="E153" s="7" t="s">
        <v>46</v>
      </c>
      <c r="F153" s="7" t="n">
        <v>2</v>
      </c>
      <c r="G153" s="8" t="n">
        <v>12000</v>
      </c>
      <c r="H153" s="8" t="n">
        <v>24000</v>
      </c>
      <c r="I153" s="9" t="n">
        <v>5</v>
      </c>
      <c r="J153" s="8" t="n">
        <v>1200</v>
      </c>
      <c r="K153" s="8" t="n">
        <v>22800</v>
      </c>
      <c r="L153" s="8" t="n">
        <v>14967.46</v>
      </c>
      <c r="M153" s="8" t="n">
        <v>7832.54</v>
      </c>
      <c r="N153" s="10" t="n">
        <v>0.343532576234961</v>
      </c>
      <c r="O153" s="11" t="n">
        <f aca="true">NOW()</f>
        <v>46192.1876784842</v>
      </c>
    </row>
    <row r="154" customFormat="false" ht="15" hidden="false" customHeight="false" outlineLevel="0" collapsed="false">
      <c r="A154" s="2" t="s">
        <v>208</v>
      </c>
      <c r="B154" s="2" t="s">
        <v>60</v>
      </c>
      <c r="C154" s="2" t="s">
        <v>41</v>
      </c>
      <c r="D154" s="2" t="s">
        <v>22</v>
      </c>
      <c r="E154" s="2" t="s">
        <v>49</v>
      </c>
      <c r="F154" s="2" t="n">
        <v>1</v>
      </c>
      <c r="G154" s="3" t="n">
        <v>12000</v>
      </c>
      <c r="H154" s="3" t="n">
        <v>12000</v>
      </c>
      <c r="I154" s="4" t="n">
        <v>15</v>
      </c>
      <c r="J154" s="3" t="n">
        <v>1800</v>
      </c>
      <c r="K154" s="3" t="n">
        <v>10200</v>
      </c>
      <c r="L154" s="3" t="n">
        <v>5752.61</v>
      </c>
      <c r="M154" s="3" t="n">
        <v>4447.39</v>
      </c>
      <c r="N154" s="5" t="n">
        <v>0.436018619807772</v>
      </c>
      <c r="O154" s="6" t="n">
        <f aca="true">NOW()</f>
        <v>46192.1876784842</v>
      </c>
    </row>
    <row r="155" customFormat="false" ht="15" hidden="false" customHeight="false" outlineLevel="0" collapsed="false">
      <c r="A155" s="7" t="s">
        <v>209</v>
      </c>
      <c r="B155" s="7" t="s">
        <v>63</v>
      </c>
      <c r="C155" s="7" t="s">
        <v>17</v>
      </c>
      <c r="D155" s="7" t="s">
        <v>61</v>
      </c>
      <c r="E155" s="7" t="s">
        <v>52</v>
      </c>
      <c r="F155" s="7" t="n">
        <v>8</v>
      </c>
      <c r="G155" s="8" t="n">
        <v>25000</v>
      </c>
      <c r="H155" s="8" t="n">
        <v>200000</v>
      </c>
      <c r="I155" s="9" t="n">
        <v>15</v>
      </c>
      <c r="J155" s="8" t="n">
        <v>30000</v>
      </c>
      <c r="K155" s="8" t="n">
        <v>170000</v>
      </c>
      <c r="L155" s="8" t="n">
        <v>117282.65</v>
      </c>
      <c r="M155" s="8" t="n">
        <v>52717.35</v>
      </c>
      <c r="N155" s="10" t="n">
        <v>0.310102041009884</v>
      </c>
      <c r="O155" s="11" t="n">
        <f aca="true">NOW()</f>
        <v>46192.1876784842</v>
      </c>
    </row>
    <row r="156" customFormat="false" ht="15" hidden="false" customHeight="false" outlineLevel="0" collapsed="false">
      <c r="A156" s="2" t="s">
        <v>210</v>
      </c>
      <c r="B156" s="2" t="s">
        <v>65</v>
      </c>
      <c r="C156" s="2" t="s">
        <v>41</v>
      </c>
      <c r="D156" s="2" t="s">
        <v>22</v>
      </c>
      <c r="E156" s="2" t="s">
        <v>55</v>
      </c>
      <c r="F156" s="2" t="n">
        <v>46</v>
      </c>
      <c r="G156" s="3" t="n">
        <v>8000</v>
      </c>
      <c r="H156" s="3" t="n">
        <v>368000</v>
      </c>
      <c r="I156" s="4" t="n">
        <v>15</v>
      </c>
      <c r="J156" s="3" t="n">
        <v>55200</v>
      </c>
      <c r="K156" s="3" t="n">
        <v>312800</v>
      </c>
      <c r="L156" s="3" t="n">
        <v>211205.25</v>
      </c>
      <c r="M156" s="3" t="n">
        <v>101594.75</v>
      </c>
      <c r="N156" s="5" t="n">
        <v>0.324791408163496</v>
      </c>
      <c r="O156" s="6" t="n">
        <f aca="true">NOW()</f>
        <v>46192.1876784842</v>
      </c>
    </row>
    <row r="157" customFormat="false" ht="15" hidden="false" customHeight="false" outlineLevel="0" collapsed="false">
      <c r="A157" s="7" t="s">
        <v>211</v>
      </c>
      <c r="B157" s="7" t="s">
        <v>67</v>
      </c>
      <c r="C157" s="7" t="s">
        <v>45</v>
      </c>
      <c r="D157" s="7" t="s">
        <v>26</v>
      </c>
      <c r="E157" s="7" t="s">
        <v>58</v>
      </c>
      <c r="F157" s="7" t="n">
        <v>30</v>
      </c>
      <c r="G157" s="8" t="n">
        <v>12000</v>
      </c>
      <c r="H157" s="8" t="n">
        <v>360000</v>
      </c>
      <c r="I157" s="9" t="n">
        <v>5</v>
      </c>
      <c r="J157" s="8" t="n">
        <v>18000</v>
      </c>
      <c r="K157" s="8" t="n">
        <v>342000</v>
      </c>
      <c r="L157" s="8" t="n">
        <v>207777.96</v>
      </c>
      <c r="M157" s="8" t="n">
        <v>134222.04</v>
      </c>
      <c r="N157" s="10" t="n">
        <v>0.392462098012928</v>
      </c>
      <c r="O157" s="11" t="n">
        <f aca="true">NOW()</f>
        <v>46192.1876784842</v>
      </c>
    </row>
    <row r="158" customFormat="false" ht="15" hidden="false" customHeight="false" outlineLevel="0" collapsed="false">
      <c r="A158" s="2" t="s">
        <v>212</v>
      </c>
      <c r="B158" s="2" t="s">
        <v>69</v>
      </c>
      <c r="C158" s="2" t="s">
        <v>30</v>
      </c>
      <c r="D158" s="2" t="s">
        <v>18</v>
      </c>
      <c r="E158" s="2" t="s">
        <v>19</v>
      </c>
      <c r="F158" s="2" t="n">
        <v>18</v>
      </c>
      <c r="G158" s="3" t="n">
        <v>2000</v>
      </c>
      <c r="H158" s="3" t="n">
        <v>36000</v>
      </c>
      <c r="I158" s="4" t="n">
        <v>10</v>
      </c>
      <c r="J158" s="3" t="n">
        <v>3600</v>
      </c>
      <c r="K158" s="3" t="n">
        <v>32400</v>
      </c>
      <c r="L158" s="3" t="n">
        <v>22360.45</v>
      </c>
      <c r="M158" s="3" t="n">
        <v>10039.55</v>
      </c>
      <c r="N158" s="5" t="n">
        <v>0.309862740947622</v>
      </c>
      <c r="O158" s="6" t="n">
        <f aca="true">NOW()</f>
        <v>46192.1876784843</v>
      </c>
    </row>
    <row r="159" customFormat="false" ht="15" hidden="false" customHeight="false" outlineLevel="0" collapsed="false">
      <c r="A159" s="7" t="s">
        <v>213</v>
      </c>
      <c r="B159" s="7" t="s">
        <v>71</v>
      </c>
      <c r="C159" s="7" t="s">
        <v>41</v>
      </c>
      <c r="D159" s="7" t="s">
        <v>18</v>
      </c>
      <c r="E159" s="7" t="s">
        <v>23</v>
      </c>
      <c r="F159" s="7" t="n">
        <v>19</v>
      </c>
      <c r="G159" s="8" t="n">
        <v>8000</v>
      </c>
      <c r="H159" s="8" t="n">
        <v>152000</v>
      </c>
      <c r="I159" s="9" t="n">
        <v>20</v>
      </c>
      <c r="J159" s="8" t="n">
        <v>30400</v>
      </c>
      <c r="K159" s="8" t="n">
        <v>121600</v>
      </c>
      <c r="L159" s="8" t="n">
        <v>77457.8</v>
      </c>
      <c r="M159" s="8" t="n">
        <v>44142.2</v>
      </c>
      <c r="N159" s="10" t="n">
        <v>0.363011492417489</v>
      </c>
      <c r="O159" s="11" t="n">
        <f aca="true">NOW()</f>
        <v>46192.1876784843</v>
      </c>
    </row>
    <row r="160" customFormat="false" ht="15" hidden="false" customHeight="false" outlineLevel="0" collapsed="false">
      <c r="A160" s="2" t="s">
        <v>214</v>
      </c>
      <c r="B160" s="2" t="s">
        <v>73</v>
      </c>
      <c r="C160" s="2" t="s">
        <v>45</v>
      </c>
      <c r="D160" s="2" t="s">
        <v>26</v>
      </c>
      <c r="E160" s="2" t="s">
        <v>27</v>
      </c>
      <c r="F160" s="2" t="n">
        <v>29</v>
      </c>
      <c r="G160" s="3" t="n">
        <v>12000</v>
      </c>
      <c r="H160" s="3" t="n">
        <v>348000</v>
      </c>
      <c r="I160" s="4" t="n">
        <v>15</v>
      </c>
      <c r="J160" s="3" t="n">
        <v>52200</v>
      </c>
      <c r="K160" s="3" t="n">
        <v>295800</v>
      </c>
      <c r="L160" s="3" t="n">
        <v>178003.15</v>
      </c>
      <c r="M160" s="3" t="n">
        <v>117796.85</v>
      </c>
      <c r="N160" s="5" t="n">
        <v>0.398231408746049</v>
      </c>
      <c r="O160" s="6" t="n">
        <f aca="true">NOW()</f>
        <v>46192.1876784843</v>
      </c>
    </row>
    <row r="161" customFormat="false" ht="15" hidden="false" customHeight="false" outlineLevel="0" collapsed="false">
      <c r="A161" s="7" t="s">
        <v>215</v>
      </c>
      <c r="B161" s="7" t="s">
        <v>75</v>
      </c>
      <c r="C161" s="7" t="s">
        <v>45</v>
      </c>
      <c r="D161" s="7" t="s">
        <v>61</v>
      </c>
      <c r="E161" s="7" t="s">
        <v>31</v>
      </c>
      <c r="F161" s="7" t="n">
        <v>21</v>
      </c>
      <c r="G161" s="8" t="n">
        <v>25000</v>
      </c>
      <c r="H161" s="8" t="n">
        <v>525000</v>
      </c>
      <c r="I161" s="9" t="n">
        <v>5</v>
      </c>
      <c r="J161" s="8" t="n">
        <v>26250</v>
      </c>
      <c r="K161" s="8" t="n">
        <v>498750</v>
      </c>
      <c r="L161" s="8" t="n">
        <v>317090.11</v>
      </c>
      <c r="M161" s="8" t="n">
        <v>181659.89</v>
      </c>
      <c r="N161" s="10" t="n">
        <v>0.364230353702265</v>
      </c>
      <c r="O161" s="11" t="n">
        <f aca="true">NOW()</f>
        <v>46192.1876784843</v>
      </c>
    </row>
    <row r="162" customFormat="false" ht="15" hidden="false" customHeight="false" outlineLevel="0" collapsed="false">
      <c r="A162" s="2" t="s">
        <v>216</v>
      </c>
      <c r="B162" s="2" t="s">
        <v>16</v>
      </c>
      <c r="C162" s="2" t="s">
        <v>30</v>
      </c>
      <c r="D162" s="2" t="s">
        <v>61</v>
      </c>
      <c r="E162" s="2" t="s">
        <v>34</v>
      </c>
      <c r="F162" s="2" t="n">
        <v>3</v>
      </c>
      <c r="G162" s="3" t="n">
        <v>8000</v>
      </c>
      <c r="H162" s="3" t="n">
        <v>24000</v>
      </c>
      <c r="I162" s="4" t="n">
        <v>15</v>
      </c>
      <c r="J162" s="3" t="n">
        <v>3600</v>
      </c>
      <c r="K162" s="3" t="n">
        <v>20400</v>
      </c>
      <c r="L162" s="3" t="n">
        <v>13378</v>
      </c>
      <c r="M162" s="3" t="n">
        <v>7022</v>
      </c>
      <c r="N162" s="5" t="n">
        <v>0.34421581784625</v>
      </c>
      <c r="O162" s="6" t="n">
        <f aca="true">NOW()</f>
        <v>46192.1876784843</v>
      </c>
    </row>
    <row r="163" customFormat="false" ht="15" hidden="false" customHeight="false" outlineLevel="0" collapsed="false">
      <c r="A163" s="7" t="s">
        <v>217</v>
      </c>
      <c r="B163" s="7" t="s">
        <v>21</v>
      </c>
      <c r="C163" s="7" t="s">
        <v>45</v>
      </c>
      <c r="D163" s="7" t="s">
        <v>61</v>
      </c>
      <c r="E163" s="7" t="s">
        <v>38</v>
      </c>
      <c r="F163" s="7" t="n">
        <v>43</v>
      </c>
      <c r="G163" s="8" t="n">
        <v>25000</v>
      </c>
      <c r="H163" s="8" t="n">
        <v>1075000</v>
      </c>
      <c r="I163" s="9" t="n">
        <v>15</v>
      </c>
      <c r="J163" s="8" t="n">
        <v>161250</v>
      </c>
      <c r="K163" s="8" t="n">
        <v>913750</v>
      </c>
      <c r="L163" s="8" t="n">
        <v>634803.75</v>
      </c>
      <c r="M163" s="8" t="n">
        <v>278946.25</v>
      </c>
      <c r="N163" s="10" t="n">
        <v>0.305276334244364</v>
      </c>
      <c r="O163" s="11" t="n">
        <f aca="true">NOW()</f>
        <v>46192.1876784843</v>
      </c>
    </row>
    <row r="164" customFormat="false" ht="15" hidden="false" customHeight="false" outlineLevel="0" collapsed="false">
      <c r="A164" s="2" t="s">
        <v>218</v>
      </c>
      <c r="B164" s="2" t="s">
        <v>25</v>
      </c>
      <c r="C164" s="2" t="s">
        <v>30</v>
      </c>
      <c r="D164" s="2" t="s">
        <v>22</v>
      </c>
      <c r="E164" s="2" t="s">
        <v>42</v>
      </c>
      <c r="F164" s="2" t="n">
        <v>38</v>
      </c>
      <c r="G164" s="3" t="n">
        <v>8000</v>
      </c>
      <c r="H164" s="3" t="n">
        <v>304000</v>
      </c>
      <c r="I164" s="4" t="n">
        <v>0</v>
      </c>
      <c r="J164" s="3" t="n">
        <v>0</v>
      </c>
      <c r="K164" s="3" t="n">
        <v>304000</v>
      </c>
      <c r="L164" s="3" t="n">
        <v>207063.08</v>
      </c>
      <c r="M164" s="3" t="n">
        <v>96936.92</v>
      </c>
      <c r="N164" s="5" t="n">
        <v>0.318871443891854</v>
      </c>
      <c r="O164" s="6" t="n">
        <f aca="true">NOW()</f>
        <v>46192.1876784843</v>
      </c>
    </row>
    <row r="165" customFormat="false" ht="15" hidden="false" customHeight="false" outlineLevel="0" collapsed="false">
      <c r="A165" s="7" t="s">
        <v>219</v>
      </c>
      <c r="B165" s="7" t="s">
        <v>29</v>
      </c>
      <c r="C165" s="7" t="s">
        <v>45</v>
      </c>
      <c r="D165" s="7" t="s">
        <v>18</v>
      </c>
      <c r="E165" s="7" t="s">
        <v>46</v>
      </c>
      <c r="F165" s="7" t="n">
        <v>34</v>
      </c>
      <c r="G165" s="8" t="n">
        <v>2000</v>
      </c>
      <c r="H165" s="8" t="n">
        <v>68000</v>
      </c>
      <c r="I165" s="9" t="n">
        <v>0</v>
      </c>
      <c r="J165" s="8" t="n">
        <v>0</v>
      </c>
      <c r="K165" s="8" t="n">
        <v>68000</v>
      </c>
      <c r="L165" s="8" t="n">
        <v>44768.93</v>
      </c>
      <c r="M165" s="8" t="n">
        <v>23231.07</v>
      </c>
      <c r="N165" s="10" t="n">
        <v>0.341633425864404</v>
      </c>
      <c r="O165" s="11" t="n">
        <f aca="true">NOW()</f>
        <v>46192.1876784843</v>
      </c>
    </row>
    <row r="166" customFormat="false" ht="15" hidden="false" customHeight="false" outlineLevel="0" collapsed="false">
      <c r="A166" s="2" t="s">
        <v>220</v>
      </c>
      <c r="B166" s="2" t="s">
        <v>33</v>
      </c>
      <c r="C166" s="2" t="s">
        <v>45</v>
      </c>
      <c r="D166" s="2" t="s">
        <v>26</v>
      </c>
      <c r="E166" s="2" t="s">
        <v>49</v>
      </c>
      <c r="F166" s="2" t="n">
        <v>5</v>
      </c>
      <c r="G166" s="3" t="n">
        <v>2000</v>
      </c>
      <c r="H166" s="3" t="n">
        <v>10000</v>
      </c>
      <c r="I166" s="4" t="n">
        <v>10</v>
      </c>
      <c r="J166" s="3" t="n">
        <v>1000</v>
      </c>
      <c r="K166" s="3" t="n">
        <v>9000</v>
      </c>
      <c r="L166" s="3" t="n">
        <v>5407.06</v>
      </c>
      <c r="M166" s="3" t="n">
        <v>3592.94</v>
      </c>
      <c r="N166" s="5" t="n">
        <v>0.399215814892285</v>
      </c>
      <c r="O166" s="6" t="n">
        <f aca="true">NOW()</f>
        <v>46192.1876784843</v>
      </c>
    </row>
    <row r="167" customFormat="false" ht="15" hidden="false" customHeight="false" outlineLevel="0" collapsed="false">
      <c r="A167" s="7" t="s">
        <v>221</v>
      </c>
      <c r="B167" s="7" t="s">
        <v>36</v>
      </c>
      <c r="C167" s="7" t="s">
        <v>45</v>
      </c>
      <c r="D167" s="7" t="s">
        <v>18</v>
      </c>
      <c r="E167" s="7" t="s">
        <v>52</v>
      </c>
      <c r="F167" s="7" t="n">
        <v>22</v>
      </c>
      <c r="G167" s="8" t="n">
        <v>12000</v>
      </c>
      <c r="H167" s="8" t="n">
        <v>264000</v>
      </c>
      <c r="I167" s="9" t="n">
        <v>15</v>
      </c>
      <c r="J167" s="8" t="n">
        <v>39600</v>
      </c>
      <c r="K167" s="8" t="n">
        <v>224400</v>
      </c>
      <c r="L167" s="8" t="n">
        <v>155536.34</v>
      </c>
      <c r="M167" s="8" t="n">
        <v>68863.66</v>
      </c>
      <c r="N167" s="10" t="n">
        <v>0.306879061106599</v>
      </c>
      <c r="O167" s="11" t="n">
        <f aca="true">NOW()</f>
        <v>46192.1876784843</v>
      </c>
    </row>
    <row r="168" customFormat="false" ht="15" hidden="false" customHeight="false" outlineLevel="0" collapsed="false">
      <c r="A168" s="2" t="s">
        <v>222</v>
      </c>
      <c r="B168" s="2" t="s">
        <v>40</v>
      </c>
      <c r="C168" s="2" t="s">
        <v>45</v>
      </c>
      <c r="D168" s="2" t="s">
        <v>22</v>
      </c>
      <c r="E168" s="2" t="s">
        <v>55</v>
      </c>
      <c r="F168" s="2" t="n">
        <v>3</v>
      </c>
      <c r="G168" s="3" t="n">
        <v>12000</v>
      </c>
      <c r="H168" s="3" t="n">
        <v>36000</v>
      </c>
      <c r="I168" s="4" t="n">
        <v>0</v>
      </c>
      <c r="J168" s="3" t="n">
        <v>0</v>
      </c>
      <c r="K168" s="3" t="n">
        <v>36000</v>
      </c>
      <c r="L168" s="3" t="n">
        <v>21067.76</v>
      </c>
      <c r="M168" s="3" t="n">
        <v>14932.24</v>
      </c>
      <c r="N168" s="5" t="n">
        <v>0.414784463534697</v>
      </c>
      <c r="O168" s="6" t="n">
        <f aca="true">NOW()</f>
        <v>46192.1876784843</v>
      </c>
    </row>
    <row r="169" customFormat="false" ht="15" hidden="false" customHeight="false" outlineLevel="0" collapsed="false">
      <c r="A169" s="7" t="s">
        <v>223</v>
      </c>
      <c r="B169" s="7" t="s">
        <v>44</v>
      </c>
      <c r="C169" s="7" t="s">
        <v>41</v>
      </c>
      <c r="D169" s="7" t="s">
        <v>26</v>
      </c>
      <c r="E169" s="7" t="s">
        <v>58</v>
      </c>
      <c r="F169" s="7" t="n">
        <v>48</v>
      </c>
      <c r="G169" s="8" t="n">
        <v>15000</v>
      </c>
      <c r="H169" s="8" t="n">
        <v>720000</v>
      </c>
      <c r="I169" s="9" t="n">
        <v>15</v>
      </c>
      <c r="J169" s="8" t="n">
        <v>108000</v>
      </c>
      <c r="K169" s="8" t="n">
        <v>612000</v>
      </c>
      <c r="L169" s="8" t="n">
        <v>426411.4</v>
      </c>
      <c r="M169" s="8" t="n">
        <v>185588.6</v>
      </c>
      <c r="N169" s="10" t="n">
        <v>0.303249340766918</v>
      </c>
      <c r="O169" s="11" t="n">
        <f aca="true">NOW()</f>
        <v>46192.1876784843</v>
      </c>
    </row>
    <row r="170" customFormat="false" ht="15" hidden="false" customHeight="false" outlineLevel="0" collapsed="false">
      <c r="A170" s="2" t="s">
        <v>224</v>
      </c>
      <c r="B170" s="2" t="s">
        <v>48</v>
      </c>
      <c r="C170" s="2" t="s">
        <v>17</v>
      </c>
      <c r="D170" s="2" t="s">
        <v>61</v>
      </c>
      <c r="E170" s="2" t="s">
        <v>19</v>
      </c>
      <c r="F170" s="2" t="n">
        <v>11</v>
      </c>
      <c r="G170" s="3" t="n">
        <v>8000</v>
      </c>
      <c r="H170" s="3" t="n">
        <v>88000</v>
      </c>
      <c r="I170" s="4" t="n">
        <v>0</v>
      </c>
      <c r="J170" s="3" t="n">
        <v>0</v>
      </c>
      <c r="K170" s="3" t="n">
        <v>88000</v>
      </c>
      <c r="L170" s="3" t="n">
        <v>49007.08</v>
      </c>
      <c r="M170" s="3" t="n">
        <v>38992.92</v>
      </c>
      <c r="N170" s="5" t="n">
        <v>0.443101354698418</v>
      </c>
      <c r="O170" s="6" t="n">
        <f aca="true">NOW()</f>
        <v>46192.1876784843</v>
      </c>
    </row>
    <row r="171" customFormat="false" ht="15" hidden="false" customHeight="false" outlineLevel="0" collapsed="false">
      <c r="A171" s="7" t="s">
        <v>225</v>
      </c>
      <c r="B171" s="7" t="s">
        <v>51</v>
      </c>
      <c r="C171" s="7" t="s">
        <v>17</v>
      </c>
      <c r="D171" s="7" t="s">
        <v>37</v>
      </c>
      <c r="E171" s="7" t="s">
        <v>23</v>
      </c>
      <c r="F171" s="7" t="n">
        <v>23</v>
      </c>
      <c r="G171" s="8" t="n">
        <v>8000</v>
      </c>
      <c r="H171" s="8" t="n">
        <v>184000</v>
      </c>
      <c r="I171" s="9" t="n">
        <v>15</v>
      </c>
      <c r="J171" s="8" t="n">
        <v>27600</v>
      </c>
      <c r="K171" s="8" t="n">
        <v>156400</v>
      </c>
      <c r="L171" s="8" t="n">
        <v>89435.07</v>
      </c>
      <c r="M171" s="8" t="n">
        <v>66964.93</v>
      </c>
      <c r="N171" s="10" t="n">
        <v>0.42816453064509</v>
      </c>
      <c r="O171" s="11" t="n">
        <f aca="true">NOW()</f>
        <v>46192.1876784843</v>
      </c>
    </row>
    <row r="172" customFormat="false" ht="15" hidden="false" customHeight="false" outlineLevel="0" collapsed="false">
      <c r="A172" s="2" t="s">
        <v>226</v>
      </c>
      <c r="B172" s="2" t="s">
        <v>54</v>
      </c>
      <c r="C172" s="2" t="s">
        <v>45</v>
      </c>
      <c r="D172" s="2" t="s">
        <v>22</v>
      </c>
      <c r="E172" s="2" t="s">
        <v>27</v>
      </c>
      <c r="F172" s="2" t="n">
        <v>44</v>
      </c>
      <c r="G172" s="3" t="n">
        <v>25000</v>
      </c>
      <c r="H172" s="3" t="n">
        <v>1100000</v>
      </c>
      <c r="I172" s="4" t="n">
        <v>5</v>
      </c>
      <c r="J172" s="3" t="n">
        <v>55000</v>
      </c>
      <c r="K172" s="3" t="n">
        <v>1045000</v>
      </c>
      <c r="L172" s="3" t="n">
        <v>602192.12</v>
      </c>
      <c r="M172" s="3" t="n">
        <v>442807.88</v>
      </c>
      <c r="N172" s="5" t="n">
        <v>0.423739596740564</v>
      </c>
      <c r="O172" s="6" t="n">
        <f aca="true">NOW()</f>
        <v>46192.1876784843</v>
      </c>
    </row>
    <row r="173" customFormat="false" ht="15" hidden="false" customHeight="false" outlineLevel="0" collapsed="false">
      <c r="A173" s="7" t="s">
        <v>227</v>
      </c>
      <c r="B173" s="7" t="s">
        <v>57</v>
      </c>
      <c r="C173" s="7" t="s">
        <v>45</v>
      </c>
      <c r="D173" s="7" t="s">
        <v>22</v>
      </c>
      <c r="E173" s="7" t="s">
        <v>31</v>
      </c>
      <c r="F173" s="7" t="n">
        <v>44</v>
      </c>
      <c r="G173" s="8" t="n">
        <v>25000</v>
      </c>
      <c r="H173" s="8" t="n">
        <v>1100000</v>
      </c>
      <c r="I173" s="9" t="n">
        <v>15</v>
      </c>
      <c r="J173" s="8" t="n">
        <v>165000</v>
      </c>
      <c r="K173" s="8" t="n">
        <v>935000</v>
      </c>
      <c r="L173" s="8" t="n">
        <v>642274.27</v>
      </c>
      <c r="M173" s="8" t="n">
        <v>292725.73</v>
      </c>
      <c r="N173" s="10" t="n">
        <v>0.313075647596467</v>
      </c>
      <c r="O173" s="11" t="n">
        <f aca="true">NOW()</f>
        <v>46192.1876784843</v>
      </c>
    </row>
    <row r="174" customFormat="false" ht="15" hidden="false" customHeight="false" outlineLevel="0" collapsed="false">
      <c r="A174" s="2" t="s">
        <v>228</v>
      </c>
      <c r="B174" s="2" t="s">
        <v>60</v>
      </c>
      <c r="C174" s="2" t="s">
        <v>30</v>
      </c>
      <c r="D174" s="2" t="s">
        <v>26</v>
      </c>
      <c r="E174" s="2" t="s">
        <v>34</v>
      </c>
      <c r="F174" s="2" t="n">
        <v>30</v>
      </c>
      <c r="G174" s="3" t="n">
        <v>8000</v>
      </c>
      <c r="H174" s="3" t="n">
        <v>240000</v>
      </c>
      <c r="I174" s="4" t="n">
        <v>15</v>
      </c>
      <c r="J174" s="3" t="n">
        <v>36000</v>
      </c>
      <c r="K174" s="3" t="n">
        <v>204000</v>
      </c>
      <c r="L174" s="3" t="n">
        <v>120013</v>
      </c>
      <c r="M174" s="3" t="n">
        <v>83987</v>
      </c>
      <c r="N174" s="5" t="n">
        <v>0.411700993776127</v>
      </c>
      <c r="O174" s="6" t="n">
        <f aca="true">NOW()</f>
        <v>46192.1876784843</v>
      </c>
    </row>
    <row r="175" customFormat="false" ht="15" hidden="false" customHeight="false" outlineLevel="0" collapsed="false">
      <c r="A175" s="7" t="s">
        <v>229</v>
      </c>
      <c r="B175" s="7" t="s">
        <v>63</v>
      </c>
      <c r="C175" s="7" t="s">
        <v>17</v>
      </c>
      <c r="D175" s="7" t="s">
        <v>61</v>
      </c>
      <c r="E175" s="7" t="s">
        <v>38</v>
      </c>
      <c r="F175" s="7" t="n">
        <v>19</v>
      </c>
      <c r="G175" s="8" t="n">
        <v>12000</v>
      </c>
      <c r="H175" s="8" t="n">
        <v>228000</v>
      </c>
      <c r="I175" s="9" t="n">
        <v>5</v>
      </c>
      <c r="J175" s="8" t="n">
        <v>11400</v>
      </c>
      <c r="K175" s="8" t="n">
        <v>216600</v>
      </c>
      <c r="L175" s="8" t="n">
        <v>121529.77</v>
      </c>
      <c r="M175" s="8" t="n">
        <v>95070.23</v>
      </c>
      <c r="N175" s="10" t="n">
        <v>0.438920714957569</v>
      </c>
      <c r="O175" s="11" t="n">
        <f aca="true">NOW()</f>
        <v>46192.1876784843</v>
      </c>
    </row>
    <row r="176" customFormat="false" ht="15" hidden="false" customHeight="false" outlineLevel="0" collapsed="false">
      <c r="A176" s="2" t="s">
        <v>230</v>
      </c>
      <c r="B176" s="2" t="s">
        <v>65</v>
      </c>
      <c r="C176" s="2" t="s">
        <v>41</v>
      </c>
      <c r="D176" s="2" t="s">
        <v>22</v>
      </c>
      <c r="E176" s="2" t="s">
        <v>42</v>
      </c>
      <c r="F176" s="2" t="n">
        <v>20</v>
      </c>
      <c r="G176" s="3" t="n">
        <v>2000</v>
      </c>
      <c r="H176" s="3" t="n">
        <v>40000</v>
      </c>
      <c r="I176" s="4" t="n">
        <v>10</v>
      </c>
      <c r="J176" s="3" t="n">
        <v>4000</v>
      </c>
      <c r="K176" s="3" t="n">
        <v>36000</v>
      </c>
      <c r="L176" s="3" t="n">
        <v>22266.91</v>
      </c>
      <c r="M176" s="3" t="n">
        <v>13733.09</v>
      </c>
      <c r="N176" s="5" t="n">
        <v>0.381474628099832</v>
      </c>
      <c r="O176" s="6" t="n">
        <f aca="true">NOW()</f>
        <v>46192.1876784843</v>
      </c>
    </row>
    <row r="177" customFormat="false" ht="15" hidden="false" customHeight="false" outlineLevel="0" collapsed="false">
      <c r="A177" s="7" t="s">
        <v>231</v>
      </c>
      <c r="B177" s="7" t="s">
        <v>67</v>
      </c>
      <c r="C177" s="7" t="s">
        <v>41</v>
      </c>
      <c r="D177" s="7" t="s">
        <v>26</v>
      </c>
      <c r="E177" s="7" t="s">
        <v>46</v>
      </c>
      <c r="F177" s="7" t="n">
        <v>25</v>
      </c>
      <c r="G177" s="8" t="n">
        <v>2000</v>
      </c>
      <c r="H177" s="8" t="n">
        <v>50000</v>
      </c>
      <c r="I177" s="9" t="n">
        <v>0</v>
      </c>
      <c r="J177" s="8" t="n">
        <v>0</v>
      </c>
      <c r="K177" s="8" t="n">
        <v>50000</v>
      </c>
      <c r="L177" s="8" t="n">
        <v>29279.04</v>
      </c>
      <c r="M177" s="8" t="n">
        <v>20720.96</v>
      </c>
      <c r="N177" s="10" t="n">
        <v>0.414419144710864</v>
      </c>
      <c r="O177" s="11" t="n">
        <f aca="true">NOW()</f>
        <v>46192.1876784843</v>
      </c>
    </row>
    <row r="178" customFormat="false" ht="15" hidden="false" customHeight="false" outlineLevel="0" collapsed="false">
      <c r="A178" s="2" t="s">
        <v>232</v>
      </c>
      <c r="B178" s="2" t="s">
        <v>69</v>
      </c>
      <c r="C178" s="2" t="s">
        <v>41</v>
      </c>
      <c r="D178" s="2" t="s">
        <v>22</v>
      </c>
      <c r="E178" s="2" t="s">
        <v>49</v>
      </c>
      <c r="F178" s="2" t="n">
        <v>19</v>
      </c>
      <c r="G178" s="3" t="n">
        <v>8000</v>
      </c>
      <c r="H178" s="3" t="n">
        <v>152000</v>
      </c>
      <c r="I178" s="4" t="n">
        <v>0</v>
      </c>
      <c r="J178" s="3" t="n">
        <v>0</v>
      </c>
      <c r="K178" s="3" t="n">
        <v>152000</v>
      </c>
      <c r="L178" s="3" t="n">
        <v>105897.13</v>
      </c>
      <c r="M178" s="3" t="n">
        <v>46102.87</v>
      </c>
      <c r="N178" s="5" t="n">
        <v>0.303308327313471</v>
      </c>
      <c r="O178" s="6" t="n">
        <f aca="true">NOW()</f>
        <v>46192.1876784843</v>
      </c>
    </row>
    <row r="179" customFormat="false" ht="15" hidden="false" customHeight="false" outlineLevel="0" collapsed="false">
      <c r="A179" s="7" t="s">
        <v>233</v>
      </c>
      <c r="B179" s="7" t="s">
        <v>71</v>
      </c>
      <c r="C179" s="7" t="s">
        <v>45</v>
      </c>
      <c r="D179" s="7" t="s">
        <v>37</v>
      </c>
      <c r="E179" s="7" t="s">
        <v>52</v>
      </c>
      <c r="F179" s="7" t="n">
        <v>1</v>
      </c>
      <c r="G179" s="8" t="n">
        <v>12000</v>
      </c>
      <c r="H179" s="8" t="n">
        <v>12000</v>
      </c>
      <c r="I179" s="9" t="n">
        <v>0</v>
      </c>
      <c r="J179" s="8" t="n">
        <v>0</v>
      </c>
      <c r="K179" s="8" t="n">
        <v>12000</v>
      </c>
      <c r="L179" s="8" t="n">
        <v>8239.11</v>
      </c>
      <c r="M179" s="8" t="n">
        <v>3760.89</v>
      </c>
      <c r="N179" s="10" t="n">
        <v>0.313407456942193</v>
      </c>
      <c r="O179" s="11" t="n">
        <f aca="true">NOW()</f>
        <v>46192.1876784843</v>
      </c>
    </row>
    <row r="180" customFormat="false" ht="15" hidden="false" customHeight="false" outlineLevel="0" collapsed="false">
      <c r="A180" s="2" t="s">
        <v>234</v>
      </c>
      <c r="B180" s="2" t="s">
        <v>73</v>
      </c>
      <c r="C180" s="2" t="s">
        <v>45</v>
      </c>
      <c r="D180" s="2" t="s">
        <v>37</v>
      </c>
      <c r="E180" s="2" t="s">
        <v>55</v>
      </c>
      <c r="F180" s="2" t="n">
        <v>50</v>
      </c>
      <c r="G180" s="3" t="n">
        <v>25000</v>
      </c>
      <c r="H180" s="3" t="n">
        <v>1250000</v>
      </c>
      <c r="I180" s="4" t="n">
        <v>20</v>
      </c>
      <c r="J180" s="3" t="n">
        <v>250000</v>
      </c>
      <c r="K180" s="3" t="n">
        <v>1000000</v>
      </c>
      <c r="L180" s="3" t="n">
        <v>670289.79</v>
      </c>
      <c r="M180" s="3" t="n">
        <v>329710.21</v>
      </c>
      <c r="N180" s="5" t="n">
        <v>0.329710206368207</v>
      </c>
      <c r="O180" s="6" t="n">
        <f aca="true">NOW()</f>
        <v>46192.1876784844</v>
      </c>
    </row>
    <row r="181" customFormat="false" ht="15" hidden="false" customHeight="false" outlineLevel="0" collapsed="false">
      <c r="A181" s="7" t="s">
        <v>235</v>
      </c>
      <c r="B181" s="7" t="s">
        <v>75</v>
      </c>
      <c r="C181" s="7" t="s">
        <v>30</v>
      </c>
      <c r="D181" s="7" t="s">
        <v>26</v>
      </c>
      <c r="E181" s="7" t="s">
        <v>58</v>
      </c>
      <c r="F181" s="7" t="n">
        <v>40</v>
      </c>
      <c r="G181" s="8" t="n">
        <v>8000</v>
      </c>
      <c r="H181" s="8" t="n">
        <v>320000</v>
      </c>
      <c r="I181" s="9" t="n">
        <v>5</v>
      </c>
      <c r="J181" s="8" t="n">
        <v>16000</v>
      </c>
      <c r="K181" s="8" t="n">
        <v>304000</v>
      </c>
      <c r="L181" s="8" t="n">
        <v>195848.11</v>
      </c>
      <c r="M181" s="8" t="n">
        <v>108151.89</v>
      </c>
      <c r="N181" s="10" t="n">
        <v>0.355762784446965</v>
      </c>
      <c r="O181" s="11" t="n">
        <f aca="true">NOW()</f>
        <v>46192.1876784844</v>
      </c>
    </row>
    <row r="182" customFormat="false" ht="15" hidden="false" customHeight="false" outlineLevel="0" collapsed="false">
      <c r="A182" s="2" t="s">
        <v>236</v>
      </c>
      <c r="B182" s="2" t="s">
        <v>16</v>
      </c>
      <c r="C182" s="2" t="s">
        <v>17</v>
      </c>
      <c r="D182" s="2" t="s">
        <v>37</v>
      </c>
      <c r="E182" s="2" t="s">
        <v>19</v>
      </c>
      <c r="F182" s="2" t="n">
        <v>29</v>
      </c>
      <c r="G182" s="3" t="n">
        <v>15000</v>
      </c>
      <c r="H182" s="3" t="n">
        <v>435000</v>
      </c>
      <c r="I182" s="4" t="n">
        <v>20</v>
      </c>
      <c r="J182" s="3" t="n">
        <v>87000</v>
      </c>
      <c r="K182" s="3" t="n">
        <v>348000</v>
      </c>
      <c r="L182" s="3" t="n">
        <v>210445.76</v>
      </c>
      <c r="M182" s="3" t="n">
        <v>137554.24</v>
      </c>
      <c r="N182" s="5" t="n">
        <v>0.39527081504573</v>
      </c>
      <c r="O182" s="6" t="n">
        <f aca="true">NOW()</f>
        <v>46192.1876784844</v>
      </c>
    </row>
    <row r="183" customFormat="false" ht="15" hidden="false" customHeight="false" outlineLevel="0" collapsed="false">
      <c r="A183" s="7" t="s">
        <v>237</v>
      </c>
      <c r="B183" s="7" t="s">
        <v>21</v>
      </c>
      <c r="C183" s="7" t="s">
        <v>30</v>
      </c>
      <c r="D183" s="7" t="s">
        <v>18</v>
      </c>
      <c r="E183" s="7" t="s">
        <v>23</v>
      </c>
      <c r="F183" s="7" t="n">
        <v>19</v>
      </c>
      <c r="G183" s="8" t="n">
        <v>8000</v>
      </c>
      <c r="H183" s="8" t="n">
        <v>152000</v>
      </c>
      <c r="I183" s="9" t="n">
        <v>15</v>
      </c>
      <c r="J183" s="8" t="n">
        <v>22800</v>
      </c>
      <c r="K183" s="8" t="n">
        <v>129200</v>
      </c>
      <c r="L183" s="8" t="n">
        <v>74463.9</v>
      </c>
      <c r="M183" s="8" t="n">
        <v>54736.1</v>
      </c>
      <c r="N183" s="10" t="n">
        <v>0.423653989433354</v>
      </c>
      <c r="O183" s="11" t="n">
        <f aca="true">NOW()</f>
        <v>46192.1876784844</v>
      </c>
    </row>
    <row r="184" customFormat="false" ht="15" hidden="false" customHeight="false" outlineLevel="0" collapsed="false">
      <c r="A184" s="2" t="s">
        <v>238</v>
      </c>
      <c r="B184" s="2" t="s">
        <v>25</v>
      </c>
      <c r="C184" s="2" t="s">
        <v>30</v>
      </c>
      <c r="D184" s="2" t="s">
        <v>22</v>
      </c>
      <c r="E184" s="2" t="s">
        <v>27</v>
      </c>
      <c r="F184" s="2" t="n">
        <v>24</v>
      </c>
      <c r="G184" s="3" t="n">
        <v>12000</v>
      </c>
      <c r="H184" s="3" t="n">
        <v>288000</v>
      </c>
      <c r="I184" s="4" t="n">
        <v>20</v>
      </c>
      <c r="J184" s="3" t="n">
        <v>57600</v>
      </c>
      <c r="K184" s="3" t="n">
        <v>230400</v>
      </c>
      <c r="L184" s="3" t="n">
        <v>158290.11</v>
      </c>
      <c r="M184" s="3" t="n">
        <v>72109.89</v>
      </c>
      <c r="N184" s="5" t="n">
        <v>0.312976953827746</v>
      </c>
      <c r="O184" s="6" t="n">
        <f aca="true">NOW()</f>
        <v>46192.1876784844</v>
      </c>
    </row>
    <row r="185" customFormat="false" ht="15" hidden="false" customHeight="false" outlineLevel="0" collapsed="false">
      <c r="A185" s="7" t="s">
        <v>239</v>
      </c>
      <c r="B185" s="7" t="s">
        <v>29</v>
      </c>
      <c r="C185" s="7" t="s">
        <v>30</v>
      </c>
      <c r="D185" s="7" t="s">
        <v>37</v>
      </c>
      <c r="E185" s="7" t="s">
        <v>31</v>
      </c>
      <c r="F185" s="7" t="n">
        <v>31</v>
      </c>
      <c r="G185" s="8" t="n">
        <v>8000</v>
      </c>
      <c r="H185" s="8" t="n">
        <v>248000</v>
      </c>
      <c r="I185" s="9" t="n">
        <v>10</v>
      </c>
      <c r="J185" s="8" t="n">
        <v>24800</v>
      </c>
      <c r="K185" s="8" t="n">
        <v>223200</v>
      </c>
      <c r="L185" s="8" t="n">
        <v>149685.71</v>
      </c>
      <c r="M185" s="8" t="n">
        <v>73514.29</v>
      </c>
      <c r="N185" s="10" t="n">
        <v>0.329365119209323</v>
      </c>
      <c r="O185" s="11" t="n">
        <f aca="true">NOW()</f>
        <v>46192.1876784844</v>
      </c>
    </row>
    <row r="186" customFormat="false" ht="15" hidden="false" customHeight="false" outlineLevel="0" collapsed="false">
      <c r="A186" s="2" t="s">
        <v>240</v>
      </c>
      <c r="B186" s="2" t="s">
        <v>33</v>
      </c>
      <c r="C186" s="2" t="s">
        <v>45</v>
      </c>
      <c r="D186" s="2" t="s">
        <v>18</v>
      </c>
      <c r="E186" s="2" t="s">
        <v>34</v>
      </c>
      <c r="F186" s="2" t="n">
        <v>10</v>
      </c>
      <c r="G186" s="3" t="n">
        <v>25000</v>
      </c>
      <c r="H186" s="3" t="n">
        <v>250000</v>
      </c>
      <c r="I186" s="4" t="n">
        <v>15</v>
      </c>
      <c r="J186" s="3" t="n">
        <v>37500</v>
      </c>
      <c r="K186" s="3" t="n">
        <v>212500</v>
      </c>
      <c r="L186" s="3" t="n">
        <v>147706.72</v>
      </c>
      <c r="M186" s="3" t="n">
        <v>64793.28</v>
      </c>
      <c r="N186" s="5" t="n">
        <v>0.304909537904995</v>
      </c>
      <c r="O186" s="6" t="n">
        <f aca="true">NOW()</f>
        <v>46192.1876784844</v>
      </c>
    </row>
    <row r="187" customFormat="false" ht="15" hidden="false" customHeight="false" outlineLevel="0" collapsed="false">
      <c r="A187" s="7" t="s">
        <v>241</v>
      </c>
      <c r="B187" s="7" t="s">
        <v>36</v>
      </c>
      <c r="C187" s="7" t="s">
        <v>41</v>
      </c>
      <c r="D187" s="7" t="s">
        <v>18</v>
      </c>
      <c r="E187" s="7" t="s">
        <v>38</v>
      </c>
      <c r="F187" s="7" t="n">
        <v>26</v>
      </c>
      <c r="G187" s="8" t="n">
        <v>15000</v>
      </c>
      <c r="H187" s="8" t="n">
        <v>390000</v>
      </c>
      <c r="I187" s="9" t="n">
        <v>10</v>
      </c>
      <c r="J187" s="8" t="n">
        <v>39000</v>
      </c>
      <c r="K187" s="8" t="n">
        <v>351000</v>
      </c>
      <c r="L187" s="8" t="n">
        <v>221300.53</v>
      </c>
      <c r="M187" s="8" t="n">
        <v>129699.47</v>
      </c>
      <c r="N187" s="10" t="n">
        <v>0.369514153759641</v>
      </c>
      <c r="O187" s="11" t="n">
        <f aca="true">NOW()</f>
        <v>46192.1876784844</v>
      </c>
    </row>
    <row r="188" customFormat="false" ht="15" hidden="false" customHeight="false" outlineLevel="0" collapsed="false">
      <c r="A188" s="2" t="s">
        <v>242</v>
      </c>
      <c r="B188" s="2" t="s">
        <v>40</v>
      </c>
      <c r="C188" s="2" t="s">
        <v>45</v>
      </c>
      <c r="D188" s="2" t="s">
        <v>37</v>
      </c>
      <c r="E188" s="2" t="s">
        <v>42</v>
      </c>
      <c r="F188" s="2" t="n">
        <v>44</v>
      </c>
      <c r="G188" s="3" t="n">
        <v>8000</v>
      </c>
      <c r="H188" s="3" t="n">
        <v>352000</v>
      </c>
      <c r="I188" s="4" t="n">
        <v>20</v>
      </c>
      <c r="J188" s="3" t="n">
        <v>70400</v>
      </c>
      <c r="K188" s="3" t="n">
        <v>281600</v>
      </c>
      <c r="L188" s="3" t="n">
        <v>170974.52</v>
      </c>
      <c r="M188" s="3" t="n">
        <v>110625.48</v>
      </c>
      <c r="N188" s="5" t="n">
        <v>0.392846175109129</v>
      </c>
      <c r="O188" s="6" t="n">
        <f aca="true">NOW()</f>
        <v>46192.1876784844</v>
      </c>
    </row>
    <row r="189" customFormat="false" ht="15" hidden="false" customHeight="false" outlineLevel="0" collapsed="false">
      <c r="A189" s="7" t="s">
        <v>243</v>
      </c>
      <c r="B189" s="7" t="s">
        <v>44</v>
      </c>
      <c r="C189" s="7" t="s">
        <v>41</v>
      </c>
      <c r="D189" s="7" t="s">
        <v>18</v>
      </c>
      <c r="E189" s="7" t="s">
        <v>46</v>
      </c>
      <c r="F189" s="7" t="n">
        <v>44</v>
      </c>
      <c r="G189" s="8" t="n">
        <v>25000</v>
      </c>
      <c r="H189" s="8" t="n">
        <v>1100000</v>
      </c>
      <c r="I189" s="9" t="n">
        <v>15</v>
      </c>
      <c r="J189" s="8" t="n">
        <v>165000</v>
      </c>
      <c r="K189" s="8" t="n">
        <v>935000</v>
      </c>
      <c r="L189" s="8" t="n">
        <v>517759.71</v>
      </c>
      <c r="M189" s="8" t="n">
        <v>417240.29</v>
      </c>
      <c r="N189" s="10" t="n">
        <v>0.446246302553028</v>
      </c>
      <c r="O189" s="11" t="n">
        <f aca="true">NOW()</f>
        <v>46192.1876784844</v>
      </c>
    </row>
    <row r="190" customFormat="false" ht="15" hidden="false" customHeight="false" outlineLevel="0" collapsed="false">
      <c r="A190" s="2" t="s">
        <v>244</v>
      </c>
      <c r="B190" s="2" t="s">
        <v>48</v>
      </c>
      <c r="C190" s="2" t="s">
        <v>41</v>
      </c>
      <c r="D190" s="2" t="s">
        <v>22</v>
      </c>
      <c r="E190" s="2" t="s">
        <v>49</v>
      </c>
      <c r="F190" s="2" t="n">
        <v>15</v>
      </c>
      <c r="G190" s="3" t="n">
        <v>15000</v>
      </c>
      <c r="H190" s="3" t="n">
        <v>225000</v>
      </c>
      <c r="I190" s="4" t="n">
        <v>15</v>
      </c>
      <c r="J190" s="3" t="n">
        <v>33750</v>
      </c>
      <c r="K190" s="3" t="n">
        <v>191250</v>
      </c>
      <c r="L190" s="3" t="n">
        <v>131275.56</v>
      </c>
      <c r="M190" s="3" t="n">
        <v>59974.44</v>
      </c>
      <c r="N190" s="5" t="n">
        <v>0.313591854235816</v>
      </c>
      <c r="O190" s="6" t="n">
        <f aca="true">NOW()</f>
        <v>46192.1876784844</v>
      </c>
    </row>
    <row r="191" customFormat="false" ht="15" hidden="false" customHeight="false" outlineLevel="0" collapsed="false">
      <c r="A191" s="7" t="s">
        <v>245</v>
      </c>
      <c r="B191" s="7" t="s">
        <v>51</v>
      </c>
      <c r="C191" s="7" t="s">
        <v>41</v>
      </c>
      <c r="D191" s="7" t="s">
        <v>61</v>
      </c>
      <c r="E191" s="7" t="s">
        <v>52</v>
      </c>
      <c r="F191" s="7" t="n">
        <v>8</v>
      </c>
      <c r="G191" s="8" t="n">
        <v>25000</v>
      </c>
      <c r="H191" s="8" t="n">
        <v>200000</v>
      </c>
      <c r="I191" s="9" t="n">
        <v>0</v>
      </c>
      <c r="J191" s="8" t="n">
        <v>0</v>
      </c>
      <c r="K191" s="8" t="n">
        <v>200000</v>
      </c>
      <c r="L191" s="8" t="n">
        <v>138387.85</v>
      </c>
      <c r="M191" s="8" t="n">
        <v>61612.15</v>
      </c>
      <c r="N191" s="10" t="n">
        <v>0.308060770067708</v>
      </c>
      <c r="O191" s="11" t="n">
        <f aca="true">NOW()</f>
        <v>46192.1876784844</v>
      </c>
    </row>
    <row r="192" customFormat="false" ht="15" hidden="false" customHeight="false" outlineLevel="0" collapsed="false">
      <c r="A192" s="2" t="s">
        <v>246</v>
      </c>
      <c r="B192" s="2" t="s">
        <v>54</v>
      </c>
      <c r="C192" s="2" t="s">
        <v>41</v>
      </c>
      <c r="D192" s="2" t="s">
        <v>61</v>
      </c>
      <c r="E192" s="2" t="s">
        <v>55</v>
      </c>
      <c r="F192" s="2" t="n">
        <v>8</v>
      </c>
      <c r="G192" s="3" t="n">
        <v>15000</v>
      </c>
      <c r="H192" s="3" t="n">
        <v>120000</v>
      </c>
      <c r="I192" s="4" t="n">
        <v>5</v>
      </c>
      <c r="J192" s="3" t="n">
        <v>6000</v>
      </c>
      <c r="K192" s="3" t="n">
        <v>114000</v>
      </c>
      <c r="L192" s="3" t="n">
        <v>77872.13</v>
      </c>
      <c r="M192" s="3" t="n">
        <v>36127.87</v>
      </c>
      <c r="N192" s="5" t="n">
        <v>0.316911103720725</v>
      </c>
      <c r="O192" s="6" t="n">
        <f aca="true">NOW()</f>
        <v>46192.1876784844</v>
      </c>
    </row>
    <row r="193" customFormat="false" ht="15" hidden="false" customHeight="false" outlineLevel="0" collapsed="false">
      <c r="A193" s="7" t="s">
        <v>247</v>
      </c>
      <c r="B193" s="7" t="s">
        <v>57</v>
      </c>
      <c r="C193" s="7" t="s">
        <v>30</v>
      </c>
      <c r="D193" s="7" t="s">
        <v>61</v>
      </c>
      <c r="E193" s="7" t="s">
        <v>58</v>
      </c>
      <c r="F193" s="7" t="n">
        <v>30</v>
      </c>
      <c r="G193" s="8" t="n">
        <v>8000</v>
      </c>
      <c r="H193" s="8" t="n">
        <v>240000</v>
      </c>
      <c r="I193" s="9" t="n">
        <v>20</v>
      </c>
      <c r="J193" s="8" t="n">
        <v>48000</v>
      </c>
      <c r="K193" s="8" t="n">
        <v>192000</v>
      </c>
      <c r="L193" s="8" t="n">
        <v>117670.85</v>
      </c>
      <c r="M193" s="8" t="n">
        <v>74329.15</v>
      </c>
      <c r="N193" s="10" t="n">
        <v>0.387130986987792</v>
      </c>
      <c r="O193" s="11" t="n">
        <f aca="true">NOW()</f>
        <v>46192.1876784844</v>
      </c>
    </row>
    <row r="194" customFormat="false" ht="15" hidden="false" customHeight="false" outlineLevel="0" collapsed="false">
      <c r="A194" s="2" t="s">
        <v>248</v>
      </c>
      <c r="B194" s="2" t="s">
        <v>60</v>
      </c>
      <c r="C194" s="2" t="s">
        <v>30</v>
      </c>
      <c r="D194" s="2" t="s">
        <v>61</v>
      </c>
      <c r="E194" s="2" t="s">
        <v>19</v>
      </c>
      <c r="F194" s="2" t="n">
        <v>42</v>
      </c>
      <c r="G194" s="3" t="n">
        <v>15000</v>
      </c>
      <c r="H194" s="3" t="n">
        <v>630000</v>
      </c>
      <c r="I194" s="4" t="n">
        <v>15</v>
      </c>
      <c r="J194" s="3" t="n">
        <v>94500</v>
      </c>
      <c r="K194" s="3" t="n">
        <v>535500</v>
      </c>
      <c r="L194" s="3" t="n">
        <v>343977.26</v>
      </c>
      <c r="M194" s="3" t="n">
        <v>191522.74</v>
      </c>
      <c r="N194" s="5" t="n">
        <v>0.357652167892327</v>
      </c>
      <c r="O194" s="6" t="n">
        <f aca="true">NOW()</f>
        <v>46192.1876784844</v>
      </c>
    </row>
    <row r="195" customFormat="false" ht="15" hidden="false" customHeight="false" outlineLevel="0" collapsed="false">
      <c r="A195" s="7" t="s">
        <v>249</v>
      </c>
      <c r="B195" s="7" t="s">
        <v>63</v>
      </c>
      <c r="C195" s="7" t="s">
        <v>41</v>
      </c>
      <c r="D195" s="7" t="s">
        <v>18</v>
      </c>
      <c r="E195" s="7" t="s">
        <v>23</v>
      </c>
      <c r="F195" s="7" t="n">
        <v>45</v>
      </c>
      <c r="G195" s="8" t="n">
        <v>8000</v>
      </c>
      <c r="H195" s="8" t="n">
        <v>360000</v>
      </c>
      <c r="I195" s="9" t="n">
        <v>5</v>
      </c>
      <c r="J195" s="8" t="n">
        <v>18000</v>
      </c>
      <c r="K195" s="8" t="n">
        <v>342000</v>
      </c>
      <c r="L195" s="8" t="n">
        <v>210845.55</v>
      </c>
      <c r="M195" s="8" t="n">
        <v>131154.45</v>
      </c>
      <c r="N195" s="10" t="n">
        <v>0.383492537090895</v>
      </c>
      <c r="O195" s="11" t="n">
        <f aca="true">NOW()</f>
        <v>46192.1876784844</v>
      </c>
    </row>
    <row r="196" customFormat="false" ht="15" hidden="false" customHeight="false" outlineLevel="0" collapsed="false">
      <c r="A196" s="2" t="s">
        <v>250</v>
      </c>
      <c r="B196" s="2" t="s">
        <v>65</v>
      </c>
      <c r="C196" s="2" t="s">
        <v>30</v>
      </c>
      <c r="D196" s="2" t="s">
        <v>37</v>
      </c>
      <c r="E196" s="2" t="s">
        <v>27</v>
      </c>
      <c r="F196" s="2" t="n">
        <v>7</v>
      </c>
      <c r="G196" s="3" t="n">
        <v>8000</v>
      </c>
      <c r="H196" s="3" t="n">
        <v>56000</v>
      </c>
      <c r="I196" s="4" t="n">
        <v>20</v>
      </c>
      <c r="J196" s="3" t="n">
        <v>11200</v>
      </c>
      <c r="K196" s="3" t="n">
        <v>44800</v>
      </c>
      <c r="L196" s="3" t="n">
        <v>30699.4</v>
      </c>
      <c r="M196" s="3" t="n">
        <v>14100.6</v>
      </c>
      <c r="N196" s="5" t="n">
        <v>0.314745568136302</v>
      </c>
      <c r="O196" s="6" t="n">
        <f aca="true">NOW()</f>
        <v>46192.1876784844</v>
      </c>
    </row>
    <row r="197" customFormat="false" ht="15" hidden="false" customHeight="false" outlineLevel="0" collapsed="false">
      <c r="A197" s="7" t="s">
        <v>251</v>
      </c>
      <c r="B197" s="7" t="s">
        <v>67</v>
      </c>
      <c r="C197" s="7" t="s">
        <v>41</v>
      </c>
      <c r="D197" s="7" t="s">
        <v>18</v>
      </c>
      <c r="E197" s="7" t="s">
        <v>31</v>
      </c>
      <c r="F197" s="7" t="n">
        <v>26</v>
      </c>
      <c r="G197" s="8" t="n">
        <v>8000</v>
      </c>
      <c r="H197" s="8" t="n">
        <v>208000</v>
      </c>
      <c r="I197" s="9" t="n">
        <v>5</v>
      </c>
      <c r="J197" s="8" t="n">
        <v>10400</v>
      </c>
      <c r="K197" s="8" t="n">
        <v>197600</v>
      </c>
      <c r="L197" s="8" t="n">
        <v>137377.65</v>
      </c>
      <c r="M197" s="8" t="n">
        <v>60222.35</v>
      </c>
      <c r="N197" s="10" t="n">
        <v>0.304768968609542</v>
      </c>
      <c r="O197" s="11" t="n">
        <f aca="true">NOW()</f>
        <v>46192.1876784844</v>
      </c>
    </row>
    <row r="198" customFormat="false" ht="15" hidden="false" customHeight="false" outlineLevel="0" collapsed="false">
      <c r="A198" s="2" t="s">
        <v>252</v>
      </c>
      <c r="B198" s="2" t="s">
        <v>69</v>
      </c>
      <c r="C198" s="2" t="s">
        <v>45</v>
      </c>
      <c r="D198" s="2" t="s">
        <v>18</v>
      </c>
      <c r="E198" s="2" t="s">
        <v>34</v>
      </c>
      <c r="F198" s="2" t="n">
        <v>43</v>
      </c>
      <c r="G198" s="3" t="n">
        <v>25000</v>
      </c>
      <c r="H198" s="3" t="n">
        <v>1075000</v>
      </c>
      <c r="I198" s="4" t="n">
        <v>20</v>
      </c>
      <c r="J198" s="3" t="n">
        <v>215000</v>
      </c>
      <c r="K198" s="3" t="n">
        <v>860000</v>
      </c>
      <c r="L198" s="3" t="n">
        <v>598271.04</v>
      </c>
      <c r="M198" s="3" t="n">
        <v>261728.96</v>
      </c>
      <c r="N198" s="5" t="n">
        <v>0.304336003190252</v>
      </c>
      <c r="O198" s="6" t="n">
        <f aca="true">NOW()</f>
        <v>46192.1876784844</v>
      </c>
    </row>
    <row r="199" customFormat="false" ht="15" hidden="false" customHeight="false" outlineLevel="0" collapsed="false">
      <c r="A199" s="7" t="s">
        <v>253</v>
      </c>
      <c r="B199" s="7" t="s">
        <v>71</v>
      </c>
      <c r="C199" s="7" t="s">
        <v>17</v>
      </c>
      <c r="D199" s="7" t="s">
        <v>37</v>
      </c>
      <c r="E199" s="7" t="s">
        <v>38</v>
      </c>
      <c r="F199" s="7" t="n">
        <v>16</v>
      </c>
      <c r="G199" s="8" t="n">
        <v>25000</v>
      </c>
      <c r="H199" s="8" t="n">
        <v>400000</v>
      </c>
      <c r="I199" s="9" t="n">
        <v>20</v>
      </c>
      <c r="J199" s="8" t="n">
        <v>80000</v>
      </c>
      <c r="K199" s="8" t="n">
        <v>320000</v>
      </c>
      <c r="L199" s="8" t="n">
        <v>185849.87</v>
      </c>
      <c r="M199" s="8" t="n">
        <v>134150.13</v>
      </c>
      <c r="N199" s="10" t="n">
        <v>0.419219163728569</v>
      </c>
      <c r="O199" s="11" t="n">
        <f aca="true">NOW()</f>
        <v>46192.1876784844</v>
      </c>
    </row>
    <row r="200" customFormat="false" ht="15" hidden="false" customHeight="false" outlineLevel="0" collapsed="false">
      <c r="A200" s="2" t="s">
        <v>254</v>
      </c>
      <c r="B200" s="2" t="s">
        <v>73</v>
      </c>
      <c r="C200" s="2" t="s">
        <v>30</v>
      </c>
      <c r="D200" s="2" t="s">
        <v>22</v>
      </c>
      <c r="E200" s="2" t="s">
        <v>42</v>
      </c>
      <c r="F200" s="2" t="n">
        <v>14</v>
      </c>
      <c r="G200" s="3" t="n">
        <v>25000</v>
      </c>
      <c r="H200" s="3" t="n">
        <v>350000</v>
      </c>
      <c r="I200" s="4" t="n">
        <v>10</v>
      </c>
      <c r="J200" s="3" t="n">
        <v>35000</v>
      </c>
      <c r="K200" s="3" t="n">
        <v>315000</v>
      </c>
      <c r="L200" s="3" t="n">
        <v>209838.92</v>
      </c>
      <c r="M200" s="3" t="n">
        <v>105161.08</v>
      </c>
      <c r="N200" s="5" t="n">
        <v>0.333844713329277</v>
      </c>
      <c r="O200" s="6" t="n">
        <f aca="true">NOW()</f>
        <v>46192.1876784844</v>
      </c>
    </row>
    <row r="201" customFormat="false" ht="15" hidden="false" customHeight="false" outlineLevel="0" collapsed="false">
      <c r="A201" s="7" t="s">
        <v>255</v>
      </c>
      <c r="B201" s="7" t="s">
        <v>75</v>
      </c>
      <c r="C201" s="7" t="s">
        <v>17</v>
      </c>
      <c r="D201" s="7" t="s">
        <v>37</v>
      </c>
      <c r="E201" s="7" t="s">
        <v>46</v>
      </c>
      <c r="F201" s="7" t="n">
        <v>10</v>
      </c>
      <c r="G201" s="8" t="n">
        <v>25000</v>
      </c>
      <c r="H201" s="8" t="n">
        <v>250000</v>
      </c>
      <c r="I201" s="9" t="n">
        <v>20</v>
      </c>
      <c r="J201" s="8" t="n">
        <v>50000</v>
      </c>
      <c r="K201" s="8" t="n">
        <v>200000</v>
      </c>
      <c r="L201" s="8" t="n">
        <v>117519.63</v>
      </c>
      <c r="M201" s="8" t="n">
        <v>82480.37</v>
      </c>
      <c r="N201" s="10" t="n">
        <v>0.412401870490781</v>
      </c>
      <c r="O201" s="11" t="n">
        <f aca="true">NOW()</f>
        <v>46192.1876784844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AD47"/>
    <pageSetUpPr fitToPage="false"/>
  </sheetPr>
  <dimension ref="A1:F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8"/>
    <col collapsed="false" customWidth="true" hidden="false" outlineLevel="0" max="3" min="3" style="0" width="12"/>
    <col collapsed="false" customWidth="true" hidden="false" outlineLevel="0" max="4" min="4" style="0" width="14"/>
    <col collapsed="false" customWidth="true" hidden="false" outlineLevel="0" max="5" min="5" style="0" width="16"/>
    <col collapsed="false" customWidth="true" hidden="false" outlineLevel="0" max="6" min="6" style="0" width="8"/>
  </cols>
  <sheetData>
    <row r="1" customFormat="false" ht="34.5" hidden="false" customHeight="true" outlineLevel="0" collapsed="false">
      <c r="A1" s="12" t="s">
        <v>256</v>
      </c>
      <c r="B1" s="12"/>
      <c r="C1" s="12"/>
      <c r="D1" s="12"/>
      <c r="E1" s="12"/>
      <c r="F1" s="12"/>
    </row>
    <row r="2" customFormat="false" ht="26.85" hidden="false" customHeight="false" outlineLevel="0" collapsed="false">
      <c r="A2" s="1" t="s">
        <v>0</v>
      </c>
      <c r="B2" s="1" t="s">
        <v>1</v>
      </c>
      <c r="C2" s="1" t="s">
        <v>2</v>
      </c>
      <c r="D2" s="1" t="s">
        <v>257</v>
      </c>
      <c r="E2" s="1" t="s">
        <v>258</v>
      </c>
      <c r="F2" s="1" t="s">
        <v>259</v>
      </c>
    </row>
    <row r="3" customFormat="false" ht="15" hidden="false" customHeight="false" outlineLevel="0" collapsed="false">
      <c r="A3" s="13" t="s">
        <v>15</v>
      </c>
      <c r="B3" s="13" t="s">
        <v>54</v>
      </c>
      <c r="C3" s="13" t="s">
        <v>41</v>
      </c>
      <c r="D3" s="13" t="n">
        <v>264</v>
      </c>
      <c r="E3" s="14" t="n">
        <v>4889000</v>
      </c>
      <c r="F3" s="13" t="n">
        <v>1</v>
      </c>
    </row>
    <row r="4" customFormat="false" ht="15" hidden="false" customHeight="false" outlineLevel="0" collapsed="false">
      <c r="A4" s="15" t="s">
        <v>20</v>
      </c>
      <c r="B4" s="15" t="s">
        <v>29</v>
      </c>
      <c r="C4" s="15" t="s">
        <v>30</v>
      </c>
      <c r="D4" s="15" t="n">
        <v>244</v>
      </c>
      <c r="E4" s="16" t="n">
        <v>4193000</v>
      </c>
      <c r="F4" s="15" t="n">
        <v>2</v>
      </c>
    </row>
    <row r="5" customFormat="false" ht="15" hidden="false" customHeight="false" outlineLevel="0" collapsed="false">
      <c r="A5" s="13" t="s">
        <v>24</v>
      </c>
      <c r="B5" s="13" t="s">
        <v>25</v>
      </c>
      <c r="C5" s="13" t="s">
        <v>30</v>
      </c>
      <c r="D5" s="13" t="n">
        <v>307</v>
      </c>
      <c r="E5" s="14" t="n">
        <v>4144000</v>
      </c>
      <c r="F5" s="13" t="n">
        <v>3</v>
      </c>
    </row>
    <row r="6" customFormat="false" ht="15" hidden="false" customHeight="false" outlineLevel="0" collapsed="false">
      <c r="A6" s="15" t="s">
        <v>28</v>
      </c>
      <c r="B6" s="15" t="s">
        <v>21</v>
      </c>
      <c r="C6" s="15" t="s">
        <v>30</v>
      </c>
      <c r="D6" s="15" t="n">
        <v>238</v>
      </c>
      <c r="E6" s="16" t="n">
        <v>3796000</v>
      </c>
      <c r="F6" s="15" t="n">
        <v>4</v>
      </c>
    </row>
    <row r="7" customFormat="false" ht="15" hidden="false" customHeight="false" outlineLevel="0" collapsed="false">
      <c r="A7" s="13" t="s">
        <v>32</v>
      </c>
      <c r="B7" s="13" t="s">
        <v>44</v>
      </c>
      <c r="C7" s="13" t="s">
        <v>41</v>
      </c>
      <c r="D7" s="13" t="n">
        <v>362</v>
      </c>
      <c r="E7" s="14" t="n">
        <v>3576000</v>
      </c>
      <c r="F7" s="13" t="n">
        <v>5</v>
      </c>
    </row>
    <row r="8" customFormat="false" ht="15" hidden="false" customHeight="false" outlineLevel="0" collapsed="false">
      <c r="A8" s="15" t="s">
        <v>35</v>
      </c>
      <c r="B8" s="15" t="s">
        <v>16</v>
      </c>
      <c r="C8" s="15" t="s">
        <v>17</v>
      </c>
      <c r="D8" s="15" t="n">
        <v>273</v>
      </c>
      <c r="E8" s="16" t="n">
        <v>3394000</v>
      </c>
      <c r="F8" s="15" t="n">
        <v>6</v>
      </c>
    </row>
    <row r="9" customFormat="false" ht="15" hidden="false" customHeight="false" outlineLevel="0" collapsed="false">
      <c r="A9" s="13" t="s">
        <v>39</v>
      </c>
      <c r="B9" s="13" t="s">
        <v>60</v>
      </c>
      <c r="C9" s="13" t="s">
        <v>30</v>
      </c>
      <c r="D9" s="13" t="n">
        <v>255</v>
      </c>
      <c r="E9" s="14" t="n">
        <v>3381000</v>
      </c>
      <c r="F9" s="13" t="n">
        <v>7</v>
      </c>
    </row>
    <row r="10" customFormat="false" ht="15" hidden="false" customHeight="false" outlineLevel="0" collapsed="false">
      <c r="A10" s="15" t="s">
        <v>43</v>
      </c>
      <c r="B10" s="15" t="s">
        <v>69</v>
      </c>
      <c r="C10" s="15" t="s">
        <v>45</v>
      </c>
      <c r="D10" s="15" t="n">
        <v>264</v>
      </c>
      <c r="E10" s="16" t="n">
        <v>3213000</v>
      </c>
      <c r="F10" s="15" t="n">
        <v>8</v>
      </c>
    </row>
    <row r="11" customFormat="false" ht="15" hidden="false" customHeight="false" outlineLevel="0" collapsed="false">
      <c r="A11" s="13" t="s">
        <v>47</v>
      </c>
      <c r="B11" s="13" t="s">
        <v>57</v>
      </c>
      <c r="C11" s="13" t="s">
        <v>30</v>
      </c>
      <c r="D11" s="13" t="n">
        <v>217</v>
      </c>
      <c r="E11" s="14" t="n">
        <v>3212000</v>
      </c>
      <c r="F11" s="13" t="n">
        <v>9</v>
      </c>
    </row>
    <row r="12" customFormat="false" ht="15" hidden="false" customHeight="false" outlineLevel="0" collapsed="false">
      <c r="A12" s="15" t="s">
        <v>50</v>
      </c>
      <c r="B12" s="15" t="s">
        <v>33</v>
      </c>
      <c r="C12" s="15" t="s">
        <v>45</v>
      </c>
      <c r="D12" s="15" t="n">
        <v>284</v>
      </c>
      <c r="E12" s="16" t="n">
        <v>3160000</v>
      </c>
      <c r="F12" s="15" t="n">
        <v>10</v>
      </c>
    </row>
    <row r="13" customFormat="false" ht="15" hidden="false" customHeight="false" outlineLevel="0" collapsed="false">
      <c r="A13" s="13" t="s">
        <v>53</v>
      </c>
      <c r="B13" s="13" t="s">
        <v>63</v>
      </c>
      <c r="C13" s="13" t="s">
        <v>41</v>
      </c>
      <c r="D13" s="13" t="n">
        <v>240</v>
      </c>
      <c r="E13" s="14" t="n">
        <v>3136000</v>
      </c>
      <c r="F13" s="13" t="n">
        <v>11</v>
      </c>
    </row>
    <row r="14" customFormat="false" ht="15" hidden="false" customHeight="false" outlineLevel="0" collapsed="false">
      <c r="A14" s="15" t="s">
        <v>56</v>
      </c>
      <c r="B14" s="15" t="s">
        <v>75</v>
      </c>
      <c r="C14" s="15" t="s">
        <v>17</v>
      </c>
      <c r="D14" s="15" t="n">
        <v>285</v>
      </c>
      <c r="E14" s="16" t="n">
        <v>3014000</v>
      </c>
      <c r="F14" s="15" t="n">
        <v>12</v>
      </c>
    </row>
    <row r="15" customFormat="false" ht="15" hidden="false" customHeight="false" outlineLevel="0" collapsed="false">
      <c r="A15" s="13" t="s">
        <v>59</v>
      </c>
      <c r="B15" s="13" t="s">
        <v>73</v>
      </c>
      <c r="C15" s="13" t="s">
        <v>30</v>
      </c>
      <c r="D15" s="13" t="n">
        <v>255</v>
      </c>
      <c r="E15" s="14" t="n">
        <v>2955000</v>
      </c>
      <c r="F15" s="13" t="n">
        <v>13</v>
      </c>
    </row>
    <row r="16" customFormat="false" ht="15" hidden="false" customHeight="false" outlineLevel="0" collapsed="false">
      <c r="A16" s="15" t="s">
        <v>62</v>
      </c>
      <c r="B16" s="15" t="s">
        <v>36</v>
      </c>
      <c r="C16" s="15" t="s">
        <v>41</v>
      </c>
      <c r="D16" s="15" t="n">
        <v>206</v>
      </c>
      <c r="E16" s="16" t="n">
        <v>2860000</v>
      </c>
      <c r="F16" s="15" t="n">
        <v>14</v>
      </c>
    </row>
    <row r="17" customFormat="false" ht="15" hidden="false" customHeight="false" outlineLevel="0" collapsed="false">
      <c r="A17" s="13" t="s">
        <v>64</v>
      </c>
      <c r="B17" s="13" t="s">
        <v>65</v>
      </c>
      <c r="C17" s="13" t="s">
        <v>30</v>
      </c>
      <c r="D17" s="13" t="n">
        <v>237</v>
      </c>
      <c r="E17" s="14" t="n">
        <v>2572000</v>
      </c>
      <c r="F17" s="13" t="n">
        <v>15</v>
      </c>
    </row>
    <row r="18" customFormat="false" ht="15" hidden="false" customHeight="false" outlineLevel="0" collapsed="false">
      <c r="A18" s="15" t="s">
        <v>66</v>
      </c>
      <c r="B18" s="15" t="s">
        <v>40</v>
      </c>
      <c r="C18" s="15" t="s">
        <v>45</v>
      </c>
      <c r="D18" s="15" t="n">
        <v>214</v>
      </c>
      <c r="E18" s="16" t="n">
        <v>2463000</v>
      </c>
      <c r="F18" s="15" t="n">
        <v>16</v>
      </c>
    </row>
    <row r="19" customFormat="false" ht="15" hidden="false" customHeight="false" outlineLevel="0" collapsed="false">
      <c r="A19" s="13" t="s">
        <v>68</v>
      </c>
      <c r="B19" s="13" t="s">
        <v>71</v>
      </c>
      <c r="C19" s="13" t="s">
        <v>17</v>
      </c>
      <c r="D19" s="13" t="n">
        <v>253</v>
      </c>
      <c r="E19" s="14" t="n">
        <v>2373000</v>
      </c>
      <c r="F19" s="13" t="n">
        <v>17</v>
      </c>
    </row>
    <row r="20" customFormat="false" ht="15" hidden="false" customHeight="false" outlineLevel="0" collapsed="false">
      <c r="A20" s="15" t="s">
        <v>70</v>
      </c>
      <c r="B20" s="15" t="s">
        <v>67</v>
      </c>
      <c r="C20" s="15" t="s">
        <v>41</v>
      </c>
      <c r="D20" s="15" t="n">
        <v>299</v>
      </c>
      <c r="E20" s="16" t="n">
        <v>1970000</v>
      </c>
      <c r="F20" s="15" t="n">
        <v>18</v>
      </c>
    </row>
    <row r="21" customFormat="false" ht="15" hidden="false" customHeight="false" outlineLevel="0" collapsed="false">
      <c r="A21" s="13" t="s">
        <v>72</v>
      </c>
      <c r="B21" s="13" t="s">
        <v>48</v>
      </c>
      <c r="C21" s="13" t="s">
        <v>41</v>
      </c>
      <c r="D21" s="13" t="n">
        <v>171</v>
      </c>
      <c r="E21" s="14" t="n">
        <v>1789000</v>
      </c>
      <c r="F21" s="13" t="n">
        <v>19</v>
      </c>
    </row>
    <row r="22" customFormat="false" ht="15" hidden="false" customHeight="false" outlineLevel="0" collapsed="false">
      <c r="A22" s="15" t="s">
        <v>74</v>
      </c>
      <c r="B22" s="15" t="s">
        <v>51</v>
      </c>
      <c r="C22" s="15" t="s">
        <v>41</v>
      </c>
      <c r="D22" s="15" t="n">
        <v>215</v>
      </c>
      <c r="E22" s="16" t="n">
        <v>1543000</v>
      </c>
      <c r="F22" s="15" t="n">
        <v>20</v>
      </c>
    </row>
    <row r="24" customFormat="false" ht="15" hidden="false" customHeight="false" outlineLevel="0" collapsed="false">
      <c r="A24" s="17" t="s">
        <v>260</v>
      </c>
      <c r="B24" s="17"/>
      <c r="C24" s="17"/>
      <c r="D24" s="17"/>
      <c r="E24" s="17"/>
      <c r="F24" s="17"/>
    </row>
  </sheetData>
  <mergeCells count="2">
    <mergeCell ref="A1:F1"/>
    <mergeCell ref="A24:F24"/>
  </mergeCells>
  <conditionalFormatting sqref="E3:E22">
    <cfRule type="top10" priority="2" aboveAverage="0" equalAverage="0" bottom="0" percent="0" rank="10" text="" dxfId="0"/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6600"/>
    <pageSetUpPr fitToPage="false"/>
  </sheetPr>
  <dimension ref="A1:E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5" min="1" style="0" width="18"/>
  </cols>
  <sheetData>
    <row r="1" customFormat="false" ht="34.5" hidden="false" customHeight="true" outlineLevel="0" collapsed="false">
      <c r="A1" s="12" t="s">
        <v>261</v>
      </c>
      <c r="B1" s="12"/>
      <c r="C1" s="12"/>
      <c r="D1" s="12"/>
    </row>
    <row r="3" customFormat="false" ht="15" hidden="false" customHeight="false" outlineLevel="0" collapsed="false">
      <c r="A3" s="18" t="s">
        <v>262</v>
      </c>
    </row>
    <row r="4" customFormat="false" ht="15" hidden="false" customHeight="false" outlineLevel="0" collapsed="false">
      <c r="A4" s="0" t="s">
        <v>263</v>
      </c>
      <c r="B4" s="19" t="n">
        <v>5000000</v>
      </c>
    </row>
    <row r="5" customFormat="false" ht="15" hidden="false" customHeight="false" outlineLevel="0" collapsed="false">
      <c r="A5" s="0" t="s">
        <v>264</v>
      </c>
      <c r="B5" s="20" t="n">
        <v>0.62</v>
      </c>
    </row>
    <row r="6" customFormat="false" ht="15" hidden="false" customHeight="false" outlineLevel="0" collapsed="false">
      <c r="A6" s="0" t="s">
        <v>265</v>
      </c>
      <c r="B6" s="21" t="n">
        <v>0.1</v>
      </c>
    </row>
    <row r="8" customFormat="false" ht="15" hidden="false" customHeight="false" outlineLevel="0" collapsed="false">
      <c r="A8" s="18" t="s">
        <v>266</v>
      </c>
    </row>
    <row r="9" customFormat="false" ht="15" hidden="false" customHeight="false" outlineLevel="0" collapsed="false">
      <c r="A9" s="0" t="s">
        <v>267</v>
      </c>
      <c r="B9" s="19" t="n">
        <f aca="false">B4*B6</f>
        <v>500000</v>
      </c>
    </row>
    <row r="10" customFormat="false" ht="15" hidden="false" customHeight="false" outlineLevel="0" collapsed="false">
      <c r="A10" s="0" t="s">
        <v>268</v>
      </c>
      <c r="B10" s="19" t="n">
        <f aca="false">B4-B9</f>
        <v>4500000</v>
      </c>
    </row>
    <row r="11" customFormat="false" ht="15" hidden="false" customHeight="false" outlineLevel="0" collapsed="false">
      <c r="A11" s="0" t="s">
        <v>269</v>
      </c>
      <c r="B11" s="19" t="n">
        <f aca="false">B10*B5</f>
        <v>2790000</v>
      </c>
    </row>
    <row r="12" customFormat="false" ht="15" hidden="false" customHeight="false" outlineLevel="0" collapsed="false">
      <c r="A12" s="0" t="s">
        <v>270</v>
      </c>
      <c r="B12" s="22" t="n">
        <f aca="false">B10-B11</f>
        <v>1710000</v>
      </c>
    </row>
    <row r="13" customFormat="false" ht="15" hidden="false" customHeight="false" outlineLevel="0" collapsed="false">
      <c r="A13" s="0" t="s">
        <v>271</v>
      </c>
      <c r="B13" s="23" t="n">
        <f aca="false">IF(B10=0,0,B12/B10)</f>
        <v>0.38</v>
      </c>
    </row>
    <row r="16" customFormat="false" ht="15" hidden="false" customHeight="false" outlineLevel="0" collapsed="false">
      <c r="A16" s="24" t="s">
        <v>272</v>
      </c>
      <c r="B16" s="24"/>
      <c r="C16" s="24"/>
      <c r="D16" s="24"/>
      <c r="E16" s="24"/>
    </row>
    <row r="17" customFormat="false" ht="15" hidden="false" customHeight="false" outlineLevel="0" collapsed="false">
      <c r="A17" s="1" t="s">
        <v>8</v>
      </c>
      <c r="B17" s="1" t="s">
        <v>273</v>
      </c>
      <c r="C17" s="1" t="s">
        <v>274</v>
      </c>
      <c r="D17" s="1" t="s">
        <v>275</v>
      </c>
      <c r="E17" s="1" t="s">
        <v>276</v>
      </c>
    </row>
    <row r="18" customFormat="false" ht="15" hidden="false" customHeight="false" outlineLevel="0" collapsed="false">
      <c r="A18" s="25" t="n">
        <v>0</v>
      </c>
      <c r="B18" s="26" t="n">
        <v>0</v>
      </c>
      <c r="C18" s="26" t="n">
        <v>5000000</v>
      </c>
      <c r="D18" s="26" t="n">
        <v>3100000</v>
      </c>
      <c r="E18" s="27" t="n">
        <v>1900000</v>
      </c>
    </row>
    <row r="19" customFormat="false" ht="15" hidden="false" customHeight="false" outlineLevel="0" collapsed="false">
      <c r="A19" s="28" t="n">
        <v>0.05</v>
      </c>
      <c r="B19" s="16" t="n">
        <v>250000</v>
      </c>
      <c r="C19" s="16" t="n">
        <v>4750000</v>
      </c>
      <c r="D19" s="16" t="n">
        <v>2945000</v>
      </c>
      <c r="E19" s="27" t="n">
        <v>1805000</v>
      </c>
    </row>
    <row r="20" customFormat="false" ht="15" hidden="false" customHeight="false" outlineLevel="0" collapsed="false">
      <c r="A20" s="25" t="n">
        <v>0.1</v>
      </c>
      <c r="B20" s="26" t="n">
        <v>500000</v>
      </c>
      <c r="C20" s="26" t="n">
        <v>4500000</v>
      </c>
      <c r="D20" s="26" t="n">
        <v>2790000</v>
      </c>
      <c r="E20" s="27" t="n">
        <v>1710000</v>
      </c>
    </row>
    <row r="21" customFormat="false" ht="15" hidden="false" customHeight="false" outlineLevel="0" collapsed="false">
      <c r="A21" s="28" t="n">
        <v>0.15</v>
      </c>
      <c r="B21" s="16" t="n">
        <v>750000</v>
      </c>
      <c r="C21" s="16" t="n">
        <v>4250000</v>
      </c>
      <c r="D21" s="16" t="n">
        <v>2635000</v>
      </c>
      <c r="E21" s="27" t="n">
        <v>1615000</v>
      </c>
    </row>
    <row r="22" customFormat="false" ht="15" hidden="false" customHeight="false" outlineLevel="0" collapsed="false">
      <c r="A22" s="25" t="n">
        <v>0.2</v>
      </c>
      <c r="B22" s="26" t="n">
        <v>1000000</v>
      </c>
      <c r="C22" s="26" t="n">
        <v>4000000</v>
      </c>
      <c r="D22" s="26" t="n">
        <v>2480000</v>
      </c>
      <c r="E22" s="27" t="n">
        <v>1520000</v>
      </c>
    </row>
    <row r="23" customFormat="false" ht="15" hidden="false" customHeight="false" outlineLevel="0" collapsed="false">
      <c r="A23" s="28" t="n">
        <v>0.25</v>
      </c>
      <c r="B23" s="16" t="n">
        <v>1250000</v>
      </c>
      <c r="C23" s="16" t="n">
        <v>3750000</v>
      </c>
      <c r="D23" s="16" t="n">
        <v>2325000</v>
      </c>
      <c r="E23" s="27" t="n">
        <v>1425000</v>
      </c>
    </row>
    <row r="24" customFormat="false" ht="15" hidden="false" customHeight="false" outlineLevel="0" collapsed="false">
      <c r="A24" s="25" t="n">
        <v>0.3</v>
      </c>
      <c r="B24" s="26" t="n">
        <v>1500000</v>
      </c>
      <c r="C24" s="26" t="n">
        <v>3500000</v>
      </c>
      <c r="D24" s="26" t="n">
        <v>2170000</v>
      </c>
      <c r="E24" s="27" t="n">
        <v>1330000</v>
      </c>
    </row>
    <row r="25" customFormat="false" ht="15" hidden="false" customHeight="false" outlineLevel="0" collapsed="false">
      <c r="A25" s="29" t="s">
        <v>277</v>
      </c>
      <c r="B25" s="29"/>
      <c r="C25" s="29"/>
      <c r="D25" s="29"/>
      <c r="E25" s="29"/>
    </row>
  </sheetData>
  <mergeCells count="3">
    <mergeCell ref="A1:D1"/>
    <mergeCell ref="A16:E16"/>
    <mergeCell ref="A25:E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A1:H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3" min="2" style="0" width="18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8" min="6" style="0" width="14"/>
  </cols>
  <sheetData>
    <row r="1" customFormat="false" ht="34.5" hidden="false" customHeight="true" outlineLevel="0" collapsed="false">
      <c r="A1" s="12" t="s">
        <v>278</v>
      </c>
      <c r="B1" s="12"/>
      <c r="C1" s="12"/>
      <c r="D1" s="12"/>
      <c r="E1" s="12"/>
      <c r="F1" s="12"/>
      <c r="G1" s="12"/>
      <c r="H1" s="12"/>
    </row>
    <row r="3" customFormat="false" ht="15" hidden="false" customHeight="false" outlineLevel="0" collapsed="false">
      <c r="A3" s="24" t="s">
        <v>279</v>
      </c>
      <c r="B3" s="24"/>
      <c r="C3" s="24"/>
      <c r="D3" s="24"/>
      <c r="E3" s="24"/>
      <c r="F3" s="24"/>
      <c r="G3" s="24"/>
      <c r="H3" s="24"/>
    </row>
    <row r="4" customFormat="false" ht="15" hidden="false" customHeight="false" outlineLevel="0" collapsed="false">
      <c r="A4" s="1"/>
      <c r="B4" s="1" t="s">
        <v>280</v>
      </c>
      <c r="C4" s="1" t="s">
        <v>281</v>
      </c>
      <c r="D4" s="1" t="s">
        <v>282</v>
      </c>
      <c r="E4" s="1" t="s">
        <v>283</v>
      </c>
      <c r="F4" s="1" t="s">
        <v>284</v>
      </c>
      <c r="G4" s="1" t="s">
        <v>285</v>
      </c>
    </row>
    <row r="5" customFormat="false" ht="15" hidden="false" customHeight="false" outlineLevel="0" collapsed="false">
      <c r="A5" s="13" t="s">
        <v>286</v>
      </c>
      <c r="B5" s="13" t="n">
        <v>-12450.5</v>
      </c>
      <c r="C5" s="13" t="n">
        <v>3201.2</v>
      </c>
      <c r="D5" s="13" t="n">
        <v>-3.89</v>
      </c>
      <c r="E5" s="30" t="n">
        <v>0.0001</v>
      </c>
      <c r="F5" s="13" t="n">
        <v>-18745.3</v>
      </c>
      <c r="G5" s="13" t="n">
        <v>-6155.7</v>
      </c>
    </row>
    <row r="6" customFormat="false" ht="15" hidden="false" customHeight="false" outlineLevel="0" collapsed="false">
      <c r="A6" s="15" t="s">
        <v>287</v>
      </c>
      <c r="B6" s="15" t="n">
        <v>0.3821</v>
      </c>
      <c r="C6" s="15" t="n">
        <v>0.0142</v>
      </c>
      <c r="D6" s="15" t="n">
        <v>26.91</v>
      </c>
      <c r="E6" s="31" t="n">
        <v>0</v>
      </c>
      <c r="F6" s="15" t="n">
        <v>0.3542</v>
      </c>
      <c r="G6" s="15" t="n">
        <v>0.41</v>
      </c>
    </row>
    <row r="8" customFormat="false" ht="15" hidden="false" customHeight="false" outlineLevel="0" collapsed="false">
      <c r="A8" s="32" t="s">
        <v>288</v>
      </c>
      <c r="B8" s="33"/>
    </row>
    <row r="9" customFormat="false" ht="15" hidden="false" customHeight="false" outlineLevel="0" collapsed="false">
      <c r="A9" s="34" t="s">
        <v>289</v>
      </c>
      <c r="B9" s="33" t="s">
        <v>290</v>
      </c>
    </row>
    <row r="10" customFormat="false" ht="15" hidden="false" customHeight="false" outlineLevel="0" collapsed="false">
      <c r="A10" s="34" t="s">
        <v>291</v>
      </c>
      <c r="B10" s="33" t="s">
        <v>292</v>
      </c>
    </row>
    <row r="11" customFormat="false" ht="15" hidden="false" customHeight="false" outlineLevel="0" collapsed="false">
      <c r="A11" s="34" t="s">
        <v>293</v>
      </c>
      <c r="B11" s="33" t="s">
        <v>294</v>
      </c>
    </row>
    <row r="12" customFormat="false" ht="15" hidden="false" customHeight="false" outlineLevel="0" collapsed="false">
      <c r="A12" s="34" t="s">
        <v>295</v>
      </c>
      <c r="B12" s="33" t="s">
        <v>296</v>
      </c>
    </row>
    <row r="13" customFormat="false" ht="15" hidden="false" customHeight="false" outlineLevel="0" collapsed="false">
      <c r="A13" s="34" t="s">
        <v>297</v>
      </c>
      <c r="B13" s="33" t="n">
        <v>200</v>
      </c>
    </row>
    <row r="15" customFormat="false" ht="15" hidden="false" customHeight="false" outlineLevel="0" collapsed="false">
      <c r="A15" s="35" t="s">
        <v>298</v>
      </c>
      <c r="B15" s="35"/>
      <c r="C15" s="35"/>
      <c r="D15" s="35"/>
      <c r="E15" s="35"/>
      <c r="F15" s="35"/>
      <c r="G15" s="35"/>
      <c r="H15" s="35"/>
    </row>
    <row r="18" customFormat="false" ht="15" hidden="false" customHeight="false" outlineLevel="0" collapsed="false">
      <c r="A18" s="24" t="s">
        <v>299</v>
      </c>
      <c r="B18" s="24"/>
      <c r="C18" s="24"/>
      <c r="D18" s="24"/>
      <c r="E18" s="24"/>
      <c r="F18" s="24"/>
      <c r="G18" s="24"/>
      <c r="H18" s="24"/>
    </row>
    <row r="19" customFormat="false" ht="15" hidden="false" customHeight="false" outlineLevel="0" collapsed="false">
      <c r="A19" s="1" t="s">
        <v>300</v>
      </c>
      <c r="B19" s="1" t="s">
        <v>7</v>
      </c>
      <c r="C19" s="1" t="s">
        <v>12</v>
      </c>
    </row>
    <row r="20" customFormat="false" ht="15" hidden="false" customHeight="false" outlineLevel="0" collapsed="false">
      <c r="A20" s="36" t="s">
        <v>301</v>
      </c>
      <c r="B20" s="16" t="n">
        <v>308165</v>
      </c>
      <c r="C20" s="16" t="n">
        <v>102123.6</v>
      </c>
    </row>
    <row r="21" customFormat="false" ht="15" hidden="false" customHeight="false" outlineLevel="0" collapsed="false">
      <c r="A21" s="36" t="s">
        <v>302</v>
      </c>
      <c r="B21" s="14" t="n">
        <v>225000</v>
      </c>
      <c r="C21" s="14" t="n">
        <v>68521.6</v>
      </c>
    </row>
    <row r="22" customFormat="false" ht="15" hidden="false" customHeight="false" outlineLevel="0" collapsed="false">
      <c r="A22" s="36" t="s">
        <v>303</v>
      </c>
      <c r="B22" s="16" t="n">
        <v>24000</v>
      </c>
      <c r="C22" s="16" t="n">
        <v>151945.91</v>
      </c>
    </row>
    <row r="23" customFormat="false" ht="15" hidden="false" customHeight="false" outlineLevel="0" collapsed="false">
      <c r="A23" s="36" t="s">
        <v>304</v>
      </c>
      <c r="B23" s="14" t="n">
        <v>312400.12</v>
      </c>
      <c r="C23" s="14" t="n">
        <v>103714.5</v>
      </c>
    </row>
    <row r="24" customFormat="false" ht="15" hidden="false" customHeight="false" outlineLevel="0" collapsed="false">
      <c r="A24" s="36" t="s">
        <v>305</v>
      </c>
      <c r="B24" s="16" t="n">
        <v>97593836959.8</v>
      </c>
      <c r="C24" s="16" t="n">
        <v>10756698467.95</v>
      </c>
    </row>
    <row r="25" customFormat="false" ht="15" hidden="false" customHeight="false" outlineLevel="0" collapsed="false">
      <c r="A25" s="36" t="s">
        <v>306</v>
      </c>
      <c r="B25" s="14" t="n">
        <v>6000</v>
      </c>
      <c r="C25" s="14" t="n">
        <v>2232.07</v>
      </c>
    </row>
    <row r="26" customFormat="false" ht="15" hidden="false" customHeight="false" outlineLevel="0" collapsed="false">
      <c r="A26" s="36" t="s">
        <v>307</v>
      </c>
      <c r="B26" s="16" t="n">
        <v>1250000</v>
      </c>
      <c r="C26" s="16" t="n">
        <v>456910.63</v>
      </c>
    </row>
    <row r="27" customFormat="false" ht="15" hidden="false" customHeight="false" outlineLevel="0" collapsed="false">
      <c r="A27" s="36" t="s">
        <v>308</v>
      </c>
      <c r="B27" s="14" t="n">
        <v>1244000</v>
      </c>
      <c r="C27" s="14" t="n">
        <v>454678.56</v>
      </c>
    </row>
    <row r="28" customFormat="false" ht="15" hidden="false" customHeight="false" outlineLevel="0" collapsed="false">
      <c r="A28" s="36" t="s">
        <v>309</v>
      </c>
      <c r="B28" s="16" t="n">
        <v>200</v>
      </c>
      <c r="C28" s="16" t="n">
        <v>200</v>
      </c>
    </row>
    <row r="29" customFormat="false" ht="15" hidden="false" customHeight="false" outlineLevel="0" collapsed="false">
      <c r="A29" s="36" t="s">
        <v>310</v>
      </c>
      <c r="B29" s="14" t="n">
        <v>61633000</v>
      </c>
      <c r="C29" s="14" t="n">
        <v>20424719.25</v>
      </c>
    </row>
  </sheetData>
  <mergeCells count="4">
    <mergeCell ref="A1:H1"/>
    <mergeCell ref="A3:H3"/>
    <mergeCell ref="A15:H15"/>
    <mergeCell ref="A18:H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30A0"/>
    <pageSetUpPr fitToPage="false"/>
  </sheetPr>
  <dimension ref="A1:E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8"/>
    <col collapsed="false" customWidth="true" hidden="false" outlineLevel="0" max="3" min="3" style="0" width="16"/>
    <col collapsed="false" customWidth="true" hidden="false" outlineLevel="0" max="4" min="4" style="0" width="10"/>
    <col collapsed="false" customWidth="true" hidden="false" outlineLevel="0" max="5" min="5" style="0" width="16"/>
  </cols>
  <sheetData>
    <row r="1" customFormat="false" ht="34.5" hidden="false" customHeight="true" outlineLevel="0" collapsed="false">
      <c r="A1" s="12" t="s">
        <v>311</v>
      </c>
      <c r="B1" s="12"/>
      <c r="C1" s="12"/>
      <c r="D1" s="12"/>
      <c r="E1" s="12"/>
    </row>
    <row r="2" customFormat="false" ht="15" hidden="false" customHeight="false" outlineLevel="0" collapsed="false">
      <c r="A2" s="1" t="s">
        <v>4</v>
      </c>
      <c r="B2" s="1" t="s">
        <v>312</v>
      </c>
      <c r="C2" s="1" t="s">
        <v>313</v>
      </c>
      <c r="D2" s="1" t="s">
        <v>314</v>
      </c>
      <c r="E2" s="1" t="s">
        <v>315</v>
      </c>
    </row>
    <row r="3" customFormat="false" ht="15" hidden="false" customHeight="false" outlineLevel="0" collapsed="false">
      <c r="A3" s="37" t="s">
        <v>19</v>
      </c>
      <c r="B3" s="14" t="n">
        <v>5327000</v>
      </c>
      <c r="C3" s="38" t="s">
        <v>316</v>
      </c>
      <c r="D3" s="38" t="s">
        <v>317</v>
      </c>
      <c r="E3" s="38" t="s">
        <v>317</v>
      </c>
    </row>
    <row r="4" customFormat="false" ht="17.35" hidden="false" customHeight="false" outlineLevel="0" collapsed="false">
      <c r="A4" s="39" t="s">
        <v>23</v>
      </c>
      <c r="B4" s="16" t="n">
        <v>4453000</v>
      </c>
      <c r="C4" s="40" t="n">
        <v>-0.1640698329266</v>
      </c>
      <c r="D4" s="41" t="s">
        <v>318</v>
      </c>
      <c r="E4" s="42" t="s">
        <v>319</v>
      </c>
    </row>
    <row r="5" customFormat="false" ht="17.35" hidden="false" customHeight="false" outlineLevel="0" collapsed="false">
      <c r="A5" s="37" t="s">
        <v>27</v>
      </c>
      <c r="B5" s="14" t="n">
        <v>6548000</v>
      </c>
      <c r="C5" s="43" t="n">
        <v>0.470469346507972</v>
      </c>
      <c r="D5" s="44" t="s">
        <v>320</v>
      </c>
      <c r="E5" s="45" t="s">
        <v>321</v>
      </c>
    </row>
    <row r="6" customFormat="false" ht="17.35" hidden="false" customHeight="false" outlineLevel="0" collapsed="false">
      <c r="A6" s="39" t="s">
        <v>31</v>
      </c>
      <c r="B6" s="16" t="n">
        <v>5460000</v>
      </c>
      <c r="C6" s="40" t="n">
        <v>-0.166157605375687</v>
      </c>
      <c r="D6" s="41" t="s">
        <v>318</v>
      </c>
      <c r="E6" s="42" t="s">
        <v>319</v>
      </c>
    </row>
    <row r="7" customFormat="false" ht="17.35" hidden="false" customHeight="false" outlineLevel="0" collapsed="false">
      <c r="A7" s="37" t="s">
        <v>34</v>
      </c>
      <c r="B7" s="14" t="n">
        <v>6940000</v>
      </c>
      <c r="C7" s="43" t="n">
        <v>0.271062271062271</v>
      </c>
      <c r="D7" s="44" t="s">
        <v>320</v>
      </c>
      <c r="E7" s="45" t="s">
        <v>321</v>
      </c>
    </row>
    <row r="8" customFormat="false" ht="17.35" hidden="false" customHeight="false" outlineLevel="0" collapsed="false">
      <c r="A8" s="39" t="s">
        <v>38</v>
      </c>
      <c r="B8" s="16" t="n">
        <v>5483000</v>
      </c>
      <c r="C8" s="40" t="n">
        <v>-0.209942363112392</v>
      </c>
      <c r="D8" s="41" t="s">
        <v>318</v>
      </c>
      <c r="E8" s="42" t="s">
        <v>319</v>
      </c>
    </row>
    <row r="9" customFormat="false" ht="17.35" hidden="false" customHeight="false" outlineLevel="0" collapsed="false">
      <c r="A9" s="37" t="s">
        <v>42</v>
      </c>
      <c r="B9" s="14" t="n">
        <v>3731000</v>
      </c>
      <c r="C9" s="46" t="n">
        <v>-0.31953310231625</v>
      </c>
      <c r="D9" s="47" t="s">
        <v>318</v>
      </c>
      <c r="E9" s="48" t="s">
        <v>319</v>
      </c>
    </row>
    <row r="10" customFormat="false" ht="17.35" hidden="false" customHeight="false" outlineLevel="0" collapsed="false">
      <c r="A10" s="39" t="s">
        <v>46</v>
      </c>
      <c r="B10" s="16" t="n">
        <v>4401000</v>
      </c>
      <c r="C10" s="49" t="n">
        <v>0.179576521039936</v>
      </c>
      <c r="D10" s="50" t="s">
        <v>320</v>
      </c>
      <c r="E10" s="51" t="s">
        <v>321</v>
      </c>
    </row>
    <row r="11" customFormat="false" ht="17.35" hidden="false" customHeight="false" outlineLevel="0" collapsed="false">
      <c r="A11" s="37" t="s">
        <v>49</v>
      </c>
      <c r="B11" s="14" t="n">
        <v>2670000</v>
      </c>
      <c r="C11" s="46" t="n">
        <v>-0.393319700068166</v>
      </c>
      <c r="D11" s="47" t="s">
        <v>318</v>
      </c>
      <c r="E11" s="48" t="s">
        <v>319</v>
      </c>
    </row>
    <row r="12" customFormat="false" ht="17.35" hidden="false" customHeight="false" outlineLevel="0" collapsed="false">
      <c r="A12" s="39" t="s">
        <v>52</v>
      </c>
      <c r="B12" s="16" t="n">
        <v>3772000</v>
      </c>
      <c r="C12" s="49" t="n">
        <v>0.412734082397004</v>
      </c>
      <c r="D12" s="50" t="s">
        <v>320</v>
      </c>
      <c r="E12" s="51" t="s">
        <v>321</v>
      </c>
    </row>
    <row r="13" customFormat="false" ht="17.35" hidden="false" customHeight="false" outlineLevel="0" collapsed="false">
      <c r="A13" s="37" t="s">
        <v>55</v>
      </c>
      <c r="B13" s="14" t="n">
        <v>6744000</v>
      </c>
      <c r="C13" s="43" t="n">
        <v>0.787910922587487</v>
      </c>
      <c r="D13" s="44" t="s">
        <v>320</v>
      </c>
      <c r="E13" s="45" t="s">
        <v>321</v>
      </c>
    </row>
    <row r="14" customFormat="false" ht="17.35" hidden="false" customHeight="false" outlineLevel="0" collapsed="false">
      <c r="A14" s="39" t="s">
        <v>58</v>
      </c>
      <c r="B14" s="16" t="n">
        <v>6104000</v>
      </c>
      <c r="C14" s="40" t="n">
        <v>-0.0948991696322657</v>
      </c>
      <c r="D14" s="41" t="s">
        <v>318</v>
      </c>
      <c r="E14" s="42" t="s">
        <v>319</v>
      </c>
    </row>
    <row r="16" customFormat="false" ht="15" hidden="false" customHeight="false" outlineLevel="0" collapsed="false">
      <c r="A16" s="52" t="s">
        <v>322</v>
      </c>
      <c r="B16" s="52"/>
      <c r="C16" s="52"/>
      <c r="D16" s="52"/>
      <c r="E16" s="52"/>
    </row>
  </sheetData>
  <mergeCells count="2">
    <mergeCell ref="A1:E1"/>
    <mergeCell ref="A16:E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false"/>
  </sheetPr>
  <dimension ref="A1:G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8"/>
    <col collapsed="false" customWidth="true" hidden="false" outlineLevel="0" max="3" min="3" style="0" width="12"/>
    <col collapsed="false" customWidth="true" hidden="false" outlineLevel="0" max="4" min="4" style="0" width="14"/>
    <col collapsed="false" customWidth="true" hidden="false" outlineLevel="0" max="7" min="5" style="0" width="16"/>
  </cols>
  <sheetData>
    <row r="1" customFormat="false" ht="34.5" hidden="false" customHeight="true" outlineLevel="0" collapsed="false">
      <c r="A1" s="12" t="s">
        <v>323</v>
      </c>
      <c r="B1" s="12"/>
      <c r="C1" s="12"/>
      <c r="D1" s="12"/>
      <c r="E1" s="12"/>
      <c r="F1" s="12"/>
      <c r="G1" s="12"/>
    </row>
    <row r="3" customFormat="false" ht="15" hidden="false" customHeight="false" outlineLevel="0" collapsed="false">
      <c r="A3" s="0" t="s">
        <v>324</v>
      </c>
      <c r="B3" s="53" t="n">
        <v>500000</v>
      </c>
    </row>
    <row r="5" customFormat="false" ht="15" hidden="false" customHeight="false" outlineLevel="0" collapsed="false">
      <c r="A5" s="1" t="s">
        <v>325</v>
      </c>
      <c r="B5" s="1" t="s">
        <v>1</v>
      </c>
      <c r="C5" s="1" t="s">
        <v>2</v>
      </c>
      <c r="D5" s="1" t="s">
        <v>257</v>
      </c>
      <c r="E5" s="1" t="s">
        <v>258</v>
      </c>
      <c r="F5" s="1" t="s">
        <v>326</v>
      </c>
      <c r="G5" s="1" t="s">
        <v>327</v>
      </c>
    </row>
    <row r="6" customFormat="false" ht="15" hidden="false" customHeight="false" outlineLevel="0" collapsed="false">
      <c r="A6" s="15" t="n">
        <v>1</v>
      </c>
      <c r="B6" s="15" t="s">
        <v>54</v>
      </c>
      <c r="C6" s="15" t="s">
        <v>41</v>
      </c>
      <c r="D6" s="15" t="n">
        <v>264</v>
      </c>
      <c r="E6" s="16" t="n">
        <v>4889000</v>
      </c>
      <c r="F6" s="16" t="n">
        <v>1767320.58</v>
      </c>
      <c r="G6" s="54" t="s">
        <v>328</v>
      </c>
    </row>
    <row r="7" customFormat="false" ht="15" hidden="false" customHeight="false" outlineLevel="0" collapsed="false">
      <c r="A7" s="13" t="n">
        <v>2</v>
      </c>
      <c r="B7" s="13" t="s">
        <v>29</v>
      </c>
      <c r="C7" s="13" t="s">
        <v>30</v>
      </c>
      <c r="D7" s="13" t="n">
        <v>244</v>
      </c>
      <c r="E7" s="14" t="n">
        <v>4193000</v>
      </c>
      <c r="F7" s="14" t="n">
        <v>1411387.73</v>
      </c>
      <c r="G7" s="54" t="s">
        <v>328</v>
      </c>
    </row>
    <row r="8" customFormat="false" ht="15" hidden="false" customHeight="false" outlineLevel="0" collapsed="false">
      <c r="A8" s="15" t="n">
        <v>3</v>
      </c>
      <c r="B8" s="15" t="s">
        <v>25</v>
      </c>
      <c r="C8" s="15" t="s">
        <v>30</v>
      </c>
      <c r="D8" s="15" t="n">
        <v>307</v>
      </c>
      <c r="E8" s="16" t="n">
        <v>4144000</v>
      </c>
      <c r="F8" s="16" t="n">
        <v>1234094.7</v>
      </c>
      <c r="G8" s="54" t="s">
        <v>328</v>
      </c>
    </row>
    <row r="9" customFormat="false" ht="15" hidden="false" customHeight="false" outlineLevel="0" collapsed="false">
      <c r="A9" s="13" t="n">
        <v>4</v>
      </c>
      <c r="B9" s="13" t="s">
        <v>21</v>
      </c>
      <c r="C9" s="13" t="s">
        <v>30</v>
      </c>
      <c r="D9" s="13" t="n">
        <v>238</v>
      </c>
      <c r="E9" s="14" t="n">
        <v>3796000</v>
      </c>
      <c r="F9" s="14" t="n">
        <v>1324027.17</v>
      </c>
      <c r="G9" s="54" t="s">
        <v>328</v>
      </c>
    </row>
    <row r="10" customFormat="false" ht="15" hidden="false" customHeight="false" outlineLevel="0" collapsed="false">
      <c r="A10" s="15" t="n">
        <v>5</v>
      </c>
      <c r="B10" s="15" t="s">
        <v>44</v>
      </c>
      <c r="C10" s="15" t="s">
        <v>41</v>
      </c>
      <c r="D10" s="15" t="n">
        <v>362</v>
      </c>
      <c r="E10" s="16" t="n">
        <v>3576000</v>
      </c>
      <c r="F10" s="16" t="n">
        <v>1103890.41</v>
      </c>
      <c r="G10" s="54" t="s">
        <v>328</v>
      </c>
    </row>
    <row r="11" customFormat="false" ht="15" hidden="false" customHeight="false" outlineLevel="0" collapsed="false">
      <c r="A11" s="13" t="n">
        <v>6</v>
      </c>
      <c r="B11" s="13" t="s">
        <v>16</v>
      </c>
      <c r="C11" s="13" t="s">
        <v>17</v>
      </c>
      <c r="D11" s="13" t="n">
        <v>273</v>
      </c>
      <c r="E11" s="14" t="n">
        <v>3394000</v>
      </c>
      <c r="F11" s="14" t="n">
        <v>1172492.36</v>
      </c>
      <c r="G11" s="54" t="s">
        <v>328</v>
      </c>
    </row>
    <row r="12" customFormat="false" ht="15" hidden="false" customHeight="false" outlineLevel="0" collapsed="false">
      <c r="A12" s="15" t="n">
        <v>7</v>
      </c>
      <c r="B12" s="15" t="s">
        <v>60</v>
      </c>
      <c r="C12" s="15" t="s">
        <v>30</v>
      </c>
      <c r="D12" s="15" t="n">
        <v>255</v>
      </c>
      <c r="E12" s="16" t="n">
        <v>3381000</v>
      </c>
      <c r="F12" s="16" t="n">
        <v>1088834.87</v>
      </c>
      <c r="G12" s="54" t="s">
        <v>328</v>
      </c>
    </row>
    <row r="13" customFormat="false" ht="15" hidden="false" customHeight="false" outlineLevel="0" collapsed="false">
      <c r="A13" s="13" t="n">
        <v>8</v>
      </c>
      <c r="B13" s="13" t="s">
        <v>69</v>
      </c>
      <c r="C13" s="13" t="s">
        <v>45</v>
      </c>
      <c r="D13" s="13" t="n">
        <v>264</v>
      </c>
      <c r="E13" s="14" t="n">
        <v>3213000</v>
      </c>
      <c r="F13" s="14" t="n">
        <v>951771.82</v>
      </c>
      <c r="G13" s="54" t="s">
        <v>328</v>
      </c>
    </row>
    <row r="14" customFormat="false" ht="15" hidden="false" customHeight="false" outlineLevel="0" collapsed="false">
      <c r="A14" s="15" t="n">
        <v>9</v>
      </c>
      <c r="B14" s="15" t="s">
        <v>57</v>
      </c>
      <c r="C14" s="15" t="s">
        <v>30</v>
      </c>
      <c r="D14" s="15" t="n">
        <v>217</v>
      </c>
      <c r="E14" s="16" t="n">
        <v>3212000</v>
      </c>
      <c r="F14" s="16" t="n">
        <v>952263.43</v>
      </c>
      <c r="G14" s="54" t="s">
        <v>328</v>
      </c>
    </row>
    <row r="15" customFormat="false" ht="15" hidden="false" customHeight="false" outlineLevel="0" collapsed="false">
      <c r="A15" s="13" t="n">
        <v>10</v>
      </c>
      <c r="B15" s="13" t="s">
        <v>33</v>
      </c>
      <c r="C15" s="13" t="s">
        <v>45</v>
      </c>
      <c r="D15" s="13" t="n">
        <v>284</v>
      </c>
      <c r="E15" s="14" t="n">
        <v>3160000</v>
      </c>
      <c r="F15" s="14" t="n">
        <v>1086676.78</v>
      </c>
      <c r="G15" s="54" t="s">
        <v>328</v>
      </c>
    </row>
    <row r="16" customFormat="false" ht="15" hidden="false" customHeight="false" outlineLevel="0" collapsed="false">
      <c r="A16" s="15" t="n">
        <v>11</v>
      </c>
      <c r="B16" s="15" t="s">
        <v>63</v>
      </c>
      <c r="C16" s="15" t="s">
        <v>41</v>
      </c>
      <c r="D16" s="15" t="n">
        <v>240</v>
      </c>
      <c r="E16" s="16" t="n">
        <v>3136000</v>
      </c>
      <c r="F16" s="16" t="n">
        <v>1022917.83</v>
      </c>
      <c r="G16" s="54" t="s">
        <v>328</v>
      </c>
    </row>
    <row r="17" customFormat="false" ht="15" hidden="false" customHeight="false" outlineLevel="0" collapsed="false">
      <c r="A17" s="13" t="n">
        <v>12</v>
      </c>
      <c r="B17" s="13" t="s">
        <v>75</v>
      </c>
      <c r="C17" s="13" t="s">
        <v>17</v>
      </c>
      <c r="D17" s="13" t="n">
        <v>285</v>
      </c>
      <c r="E17" s="14" t="n">
        <v>3014000</v>
      </c>
      <c r="F17" s="14" t="n">
        <v>1037384.79</v>
      </c>
      <c r="G17" s="54" t="s">
        <v>328</v>
      </c>
    </row>
    <row r="18" customFormat="false" ht="15" hidden="false" customHeight="false" outlineLevel="0" collapsed="false">
      <c r="A18" s="15" t="n">
        <v>13</v>
      </c>
      <c r="B18" s="15" t="s">
        <v>73</v>
      </c>
      <c r="C18" s="15" t="s">
        <v>30</v>
      </c>
      <c r="D18" s="15" t="n">
        <v>255</v>
      </c>
      <c r="E18" s="16" t="n">
        <v>2955000</v>
      </c>
      <c r="F18" s="16" t="n">
        <v>895559.95</v>
      </c>
      <c r="G18" s="54" t="s">
        <v>328</v>
      </c>
    </row>
    <row r="19" customFormat="false" ht="15" hidden="false" customHeight="false" outlineLevel="0" collapsed="false">
      <c r="A19" s="13" t="n">
        <v>14</v>
      </c>
      <c r="B19" s="13" t="s">
        <v>36</v>
      </c>
      <c r="C19" s="13" t="s">
        <v>41</v>
      </c>
      <c r="D19" s="13" t="n">
        <v>206</v>
      </c>
      <c r="E19" s="14" t="n">
        <v>2860000</v>
      </c>
      <c r="F19" s="14" t="n">
        <v>967568.04</v>
      </c>
      <c r="G19" s="54" t="s">
        <v>328</v>
      </c>
    </row>
    <row r="20" customFormat="false" ht="15" hidden="false" customHeight="false" outlineLevel="0" collapsed="false">
      <c r="A20" s="15" t="n">
        <v>15</v>
      </c>
      <c r="B20" s="15" t="s">
        <v>65</v>
      </c>
      <c r="C20" s="15" t="s">
        <v>30</v>
      </c>
      <c r="D20" s="15" t="n">
        <v>237</v>
      </c>
      <c r="E20" s="16" t="n">
        <v>2572000</v>
      </c>
      <c r="F20" s="16" t="n">
        <v>897412.9</v>
      </c>
      <c r="G20" s="54" t="s">
        <v>328</v>
      </c>
    </row>
    <row r="21" customFormat="false" ht="15" hidden="false" customHeight="false" outlineLevel="0" collapsed="false">
      <c r="A21" s="13" t="n">
        <v>16</v>
      </c>
      <c r="B21" s="13" t="s">
        <v>40</v>
      </c>
      <c r="C21" s="13" t="s">
        <v>45</v>
      </c>
      <c r="D21" s="13" t="n">
        <v>214</v>
      </c>
      <c r="E21" s="14" t="n">
        <v>2463000</v>
      </c>
      <c r="F21" s="14" t="n">
        <v>840360.16</v>
      </c>
      <c r="G21" s="54" t="s">
        <v>328</v>
      </c>
    </row>
    <row r="22" customFormat="false" ht="15" hidden="false" customHeight="false" outlineLevel="0" collapsed="false">
      <c r="A22" s="15" t="n">
        <v>17</v>
      </c>
      <c r="B22" s="15" t="s">
        <v>71</v>
      </c>
      <c r="C22" s="15" t="s">
        <v>17</v>
      </c>
      <c r="D22" s="15" t="n">
        <v>253</v>
      </c>
      <c r="E22" s="16" t="n">
        <v>2373000</v>
      </c>
      <c r="F22" s="16" t="n">
        <v>809348.81</v>
      </c>
      <c r="G22" s="54" t="s">
        <v>328</v>
      </c>
    </row>
    <row r="23" customFormat="false" ht="15" hidden="false" customHeight="false" outlineLevel="0" collapsed="false">
      <c r="A23" s="13" t="n">
        <v>18</v>
      </c>
      <c r="B23" s="13" t="s">
        <v>67</v>
      </c>
      <c r="C23" s="13" t="s">
        <v>41</v>
      </c>
      <c r="D23" s="13" t="n">
        <v>299</v>
      </c>
      <c r="E23" s="14" t="n">
        <v>1970000</v>
      </c>
      <c r="F23" s="14" t="n">
        <v>683713.77</v>
      </c>
      <c r="G23" s="54" t="s">
        <v>328</v>
      </c>
    </row>
    <row r="24" customFormat="false" ht="15" hidden="false" customHeight="false" outlineLevel="0" collapsed="false">
      <c r="A24" s="15" t="n">
        <v>19</v>
      </c>
      <c r="B24" s="15" t="s">
        <v>48</v>
      </c>
      <c r="C24" s="15" t="s">
        <v>41</v>
      </c>
      <c r="D24" s="15" t="n">
        <v>171</v>
      </c>
      <c r="E24" s="16" t="n">
        <v>1789000</v>
      </c>
      <c r="F24" s="16" t="n">
        <v>634521.05</v>
      </c>
      <c r="G24" s="54" t="s">
        <v>328</v>
      </c>
    </row>
    <row r="25" customFormat="false" ht="15" hidden="false" customHeight="false" outlineLevel="0" collapsed="false">
      <c r="A25" s="13" t="n">
        <v>20</v>
      </c>
      <c r="B25" s="13" t="s">
        <v>51</v>
      </c>
      <c r="C25" s="13" t="s">
        <v>41</v>
      </c>
      <c r="D25" s="13" t="n">
        <v>215</v>
      </c>
      <c r="E25" s="14" t="n">
        <v>1543000</v>
      </c>
      <c r="F25" s="14" t="n">
        <v>543172.1</v>
      </c>
      <c r="G25" s="54" t="s">
        <v>328</v>
      </c>
    </row>
    <row r="28" customFormat="false" ht="15" hidden="false" customHeight="false" outlineLevel="0" collapsed="false">
      <c r="A28" s="55" t="s">
        <v>329</v>
      </c>
      <c r="B28" s="55"/>
      <c r="C28" s="55"/>
      <c r="D28" s="55"/>
      <c r="E28" s="55"/>
      <c r="F28" s="55"/>
      <c r="G28" s="55"/>
    </row>
  </sheetData>
  <mergeCells count="2">
    <mergeCell ref="A1:G1"/>
    <mergeCell ref="A28:G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B0F0"/>
    <pageSetUpPr fitToPage="false"/>
  </sheetPr>
  <dimension ref="A1:G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7" min="2" style="0" width="18"/>
  </cols>
  <sheetData>
    <row r="1" customFormat="false" ht="34.5" hidden="false" customHeight="true" outlineLevel="0" collapsed="false">
      <c r="A1" s="12" t="s">
        <v>330</v>
      </c>
      <c r="B1" s="12"/>
      <c r="C1" s="12"/>
      <c r="D1" s="12"/>
      <c r="E1" s="12"/>
      <c r="F1" s="12"/>
      <c r="G1" s="12"/>
    </row>
    <row r="3" customFormat="false" ht="15" hidden="false" customHeight="false" outlineLevel="0" collapsed="false">
      <c r="A3" s="56" t="s">
        <v>331</v>
      </c>
      <c r="B3" s="1" t="s">
        <v>61</v>
      </c>
      <c r="C3" s="1" t="s">
        <v>18</v>
      </c>
      <c r="D3" s="1" t="s">
        <v>26</v>
      </c>
      <c r="E3" s="1" t="s">
        <v>22</v>
      </c>
      <c r="F3" s="1" t="s">
        <v>37</v>
      </c>
      <c r="G3" s="57" t="s">
        <v>332</v>
      </c>
    </row>
    <row r="4" customFormat="false" ht="15" hidden="false" customHeight="false" outlineLevel="0" collapsed="false">
      <c r="A4" s="56" t="s">
        <v>41</v>
      </c>
      <c r="B4" s="16" t="n">
        <v>2860000</v>
      </c>
      <c r="C4" s="16" t="n">
        <v>4096000</v>
      </c>
      <c r="D4" s="16" t="n">
        <v>1758000</v>
      </c>
      <c r="E4" s="16" t="n">
        <v>5661000</v>
      </c>
      <c r="F4" s="16" t="n">
        <v>756000</v>
      </c>
      <c r="G4" s="58" t="n">
        <v>15131000</v>
      </c>
    </row>
    <row r="5" customFormat="false" ht="15" hidden="false" customHeight="false" outlineLevel="0" collapsed="false">
      <c r="A5" s="56" t="s">
        <v>17</v>
      </c>
      <c r="B5" s="14" t="n">
        <v>1431000</v>
      </c>
      <c r="C5" s="14" t="n">
        <v>3286000</v>
      </c>
      <c r="D5" s="14" t="n">
        <v>2350000</v>
      </c>
      <c r="E5" s="14" t="n">
        <v>1732000</v>
      </c>
      <c r="F5" s="14" t="n">
        <v>3658000</v>
      </c>
      <c r="G5" s="58" t="n">
        <v>12457000</v>
      </c>
    </row>
    <row r="6" customFormat="false" ht="15" hidden="false" customHeight="false" outlineLevel="0" collapsed="false">
      <c r="A6" s="56" t="s">
        <v>30</v>
      </c>
      <c r="B6" s="16" t="n">
        <v>3131000</v>
      </c>
      <c r="C6" s="16" t="n">
        <v>2621000</v>
      </c>
      <c r="D6" s="16" t="n">
        <v>1440000</v>
      </c>
      <c r="E6" s="16" t="n">
        <v>3386000</v>
      </c>
      <c r="F6" s="16" t="n">
        <v>4188000</v>
      </c>
      <c r="G6" s="58" t="n">
        <v>14766000</v>
      </c>
    </row>
    <row r="7" customFormat="false" ht="15" hidden="false" customHeight="false" outlineLevel="0" collapsed="false">
      <c r="A7" s="56" t="s">
        <v>45</v>
      </c>
      <c r="B7" s="14" t="n">
        <v>3602000</v>
      </c>
      <c r="C7" s="14" t="n">
        <v>4106000</v>
      </c>
      <c r="D7" s="14" t="n">
        <v>4048000</v>
      </c>
      <c r="E7" s="14" t="n">
        <v>4813000</v>
      </c>
      <c r="F7" s="14" t="n">
        <v>2710000</v>
      </c>
      <c r="G7" s="58" t="n">
        <v>19279000</v>
      </c>
    </row>
    <row r="8" customFormat="false" ht="15" hidden="false" customHeight="false" outlineLevel="0" collapsed="false">
      <c r="A8" s="59" t="s">
        <v>332</v>
      </c>
      <c r="B8" s="60" t="n">
        <v>11024000</v>
      </c>
      <c r="C8" s="60" t="n">
        <v>14109000</v>
      </c>
      <c r="D8" s="60" t="n">
        <v>9596000</v>
      </c>
      <c r="E8" s="60" t="n">
        <v>15592000</v>
      </c>
      <c r="F8" s="60" t="n">
        <v>11312000</v>
      </c>
      <c r="G8" s="61" t="n">
        <v>61633000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9900"/>
    <pageSetUpPr fitToPage="false"/>
  </sheetPr>
  <dimension ref="A1:J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8"/>
  </cols>
  <sheetData>
    <row r="1" customFormat="false" ht="34.5" hidden="false" customHeight="true" outlineLevel="0" collapsed="false">
      <c r="A1" s="12" t="s">
        <v>333</v>
      </c>
      <c r="B1" s="12"/>
      <c r="C1" s="12"/>
      <c r="D1" s="12"/>
      <c r="E1" s="12"/>
      <c r="F1" s="12"/>
      <c r="G1" s="12"/>
      <c r="H1" s="12"/>
      <c r="I1" s="12"/>
      <c r="J1" s="12"/>
    </row>
    <row r="3" customFormat="false" ht="15" hidden="false" customHeight="false" outlineLevel="0" collapsed="false">
      <c r="A3" s="62" t="s">
        <v>2</v>
      </c>
      <c r="B3" s="62" t="s">
        <v>258</v>
      </c>
    </row>
    <row r="4" customFormat="false" ht="15" hidden="false" customHeight="false" outlineLevel="0" collapsed="false">
      <c r="A4" s="0" t="s">
        <v>41</v>
      </c>
      <c r="B4" s="19" t="n">
        <v>15131000</v>
      </c>
    </row>
    <row r="5" customFormat="false" ht="15" hidden="false" customHeight="false" outlineLevel="0" collapsed="false">
      <c r="A5" s="0" t="s">
        <v>17</v>
      </c>
      <c r="B5" s="19" t="n">
        <v>12457000</v>
      </c>
    </row>
    <row r="6" customFormat="false" ht="15" hidden="false" customHeight="false" outlineLevel="0" collapsed="false">
      <c r="A6" s="0" t="s">
        <v>30</v>
      </c>
      <c r="B6" s="19" t="n">
        <v>14766000</v>
      </c>
    </row>
    <row r="7" customFormat="false" ht="15" hidden="false" customHeight="false" outlineLevel="0" collapsed="false">
      <c r="A7" s="0" t="s">
        <v>45</v>
      </c>
      <c r="B7" s="19" t="n">
        <v>19279000</v>
      </c>
    </row>
    <row r="12" customFormat="false" ht="15" hidden="false" customHeight="false" outlineLevel="0" collapsed="false">
      <c r="A12" s="62" t="s">
        <v>4</v>
      </c>
      <c r="B12" s="62" t="s">
        <v>258</v>
      </c>
    </row>
    <row r="13" customFormat="false" ht="15" hidden="false" customHeight="false" outlineLevel="0" collapsed="false">
      <c r="A13" s="0" t="s">
        <v>19</v>
      </c>
      <c r="B13" s="0" t="n">
        <v>5327000</v>
      </c>
    </row>
    <row r="14" customFormat="false" ht="15" hidden="false" customHeight="false" outlineLevel="0" collapsed="false">
      <c r="A14" s="0" t="s">
        <v>23</v>
      </c>
      <c r="B14" s="0" t="n">
        <v>4453000</v>
      </c>
    </row>
    <row r="15" customFormat="false" ht="15" hidden="false" customHeight="false" outlineLevel="0" collapsed="false">
      <c r="A15" s="0" t="s">
        <v>27</v>
      </c>
      <c r="B15" s="0" t="n">
        <v>6548000</v>
      </c>
    </row>
    <row r="16" customFormat="false" ht="15" hidden="false" customHeight="false" outlineLevel="0" collapsed="false">
      <c r="A16" s="0" t="s">
        <v>31</v>
      </c>
      <c r="B16" s="0" t="n">
        <v>5460000</v>
      </c>
    </row>
    <row r="17" customFormat="false" ht="15" hidden="false" customHeight="false" outlineLevel="0" collapsed="false">
      <c r="A17" s="0" t="s">
        <v>34</v>
      </c>
      <c r="B17" s="0" t="n">
        <v>6940000</v>
      </c>
    </row>
    <row r="18" customFormat="false" ht="15" hidden="false" customHeight="false" outlineLevel="0" collapsed="false">
      <c r="A18" s="0" t="s">
        <v>38</v>
      </c>
      <c r="B18" s="0" t="n">
        <v>5483000</v>
      </c>
    </row>
    <row r="19" customFormat="false" ht="15" hidden="false" customHeight="false" outlineLevel="0" collapsed="false">
      <c r="A19" s="0" t="s">
        <v>42</v>
      </c>
      <c r="B19" s="0" t="n">
        <v>3731000</v>
      </c>
    </row>
    <row r="20" customFormat="false" ht="15" hidden="false" customHeight="false" outlineLevel="0" collapsed="false">
      <c r="A20" s="0" t="s">
        <v>46</v>
      </c>
      <c r="B20" s="0" t="n">
        <v>4401000</v>
      </c>
    </row>
    <row r="21" customFormat="false" ht="15" hidden="false" customHeight="false" outlineLevel="0" collapsed="false">
      <c r="A21" s="0" t="s">
        <v>49</v>
      </c>
      <c r="B21" s="0" t="n">
        <v>2670000</v>
      </c>
    </row>
    <row r="22" customFormat="false" ht="15" hidden="false" customHeight="false" outlineLevel="0" collapsed="false">
      <c r="A22" s="0" t="s">
        <v>52</v>
      </c>
      <c r="B22" s="0" t="n">
        <v>3772000</v>
      </c>
    </row>
    <row r="23" customFormat="false" ht="15" hidden="false" customHeight="false" outlineLevel="0" collapsed="false">
      <c r="A23" s="0" t="s">
        <v>55</v>
      </c>
      <c r="B23" s="0" t="n">
        <v>6744000</v>
      </c>
    </row>
    <row r="24" customFormat="false" ht="15" hidden="false" customHeight="false" outlineLevel="0" collapsed="false">
      <c r="A24" s="0" t="s">
        <v>58</v>
      </c>
      <c r="B24" s="0" t="n">
        <v>6104000</v>
      </c>
    </row>
    <row r="27" customFormat="false" ht="15" hidden="false" customHeight="false" outlineLevel="0" collapsed="false">
      <c r="A27" s="62" t="s">
        <v>3</v>
      </c>
      <c r="B27" s="62" t="s">
        <v>258</v>
      </c>
    </row>
    <row r="28" customFormat="false" ht="15" hidden="false" customHeight="false" outlineLevel="0" collapsed="false">
      <c r="A28" s="0" t="s">
        <v>61</v>
      </c>
      <c r="B28" s="0" t="n">
        <v>11024000</v>
      </c>
    </row>
    <row r="29" customFormat="false" ht="15" hidden="false" customHeight="false" outlineLevel="0" collapsed="false">
      <c r="A29" s="0" t="s">
        <v>18</v>
      </c>
      <c r="B29" s="0" t="n">
        <v>14109000</v>
      </c>
    </row>
    <row r="30" customFormat="false" ht="15" hidden="false" customHeight="false" outlineLevel="0" collapsed="false">
      <c r="A30" s="0" t="s">
        <v>26</v>
      </c>
      <c r="B30" s="0" t="n">
        <v>9596000</v>
      </c>
    </row>
    <row r="31" customFormat="false" ht="15" hidden="false" customHeight="false" outlineLevel="0" collapsed="false">
      <c r="A31" s="0" t="s">
        <v>22</v>
      </c>
      <c r="B31" s="0" t="n">
        <v>15592000</v>
      </c>
    </row>
    <row r="32" customFormat="false" ht="15" hidden="false" customHeight="false" outlineLevel="0" collapsed="false">
      <c r="A32" s="0" t="s">
        <v>37</v>
      </c>
      <c r="B32" s="0" t="n">
        <v>11312000</v>
      </c>
    </row>
  </sheetData>
  <mergeCells count="1">
    <mergeCell ref="A1:J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0000"/>
    <pageSetUpPr fitToPage="false"/>
  </sheetPr>
  <dimension ref="A1:N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6" min="1" style="0" width="14"/>
    <col collapsed="false" customWidth="true" hidden="false" outlineLevel="0" max="7" min="7" style="0" width="2"/>
    <col collapsed="false" customWidth="true" hidden="false" outlineLevel="0" max="8" min="8" style="0" width="16"/>
    <col collapsed="false" customWidth="true" hidden="false" outlineLevel="0" max="9" min="9" style="0" width="12"/>
    <col collapsed="false" customWidth="true" hidden="false" outlineLevel="0" max="10" min="10" style="0" width="16"/>
    <col collapsed="false" customWidth="true" hidden="false" outlineLevel="0" max="11" min="11" style="0" width="8"/>
    <col collapsed="false" customWidth="true" hidden="false" outlineLevel="0" max="14" min="12" style="0" width="2"/>
  </cols>
  <sheetData>
    <row r="1" customFormat="false" ht="19.5" hidden="false" customHeight="true" outlineLevel="0" collapsed="false">
      <c r="A1" s="63" t="s">
        <v>334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</row>
    <row r="2" customFormat="false" ht="24.75" hidden="false" customHeight="true" outlineLevel="0" collapsed="false">
      <c r="A2" s="63"/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</row>
    <row r="3" customFormat="false" ht="19.5" hidden="false" customHeight="true" outlineLevel="0" collapsed="false">
      <c r="A3" s="63"/>
      <c r="B3" s="63"/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3"/>
    </row>
    <row r="5" customFormat="false" ht="21.75" hidden="false" customHeight="true" outlineLevel="0" collapsed="false">
      <c r="A5" s="64" t="s">
        <v>335</v>
      </c>
      <c r="B5" s="64"/>
      <c r="C5" s="65" t="s">
        <v>336</v>
      </c>
      <c r="D5" s="65"/>
      <c r="E5" s="66" t="s">
        <v>337</v>
      </c>
      <c r="F5" s="66"/>
      <c r="G5" s="67" t="s">
        <v>338</v>
      </c>
      <c r="H5" s="67"/>
      <c r="I5" s="68" t="s">
        <v>339</v>
      </c>
      <c r="J5" s="68"/>
      <c r="K5" s="69" t="s">
        <v>340</v>
      </c>
      <c r="L5" s="69"/>
    </row>
    <row r="6" customFormat="false" ht="21.75" hidden="false" customHeight="true" outlineLevel="0" collapsed="false">
      <c r="A6" s="70" t="s">
        <v>341</v>
      </c>
      <c r="B6" s="70"/>
      <c r="C6" s="71" t="s">
        <v>342</v>
      </c>
      <c r="D6" s="71"/>
      <c r="E6" s="72" t="s">
        <v>343</v>
      </c>
      <c r="F6" s="72"/>
      <c r="G6" s="73" t="s">
        <v>54</v>
      </c>
      <c r="H6" s="73"/>
      <c r="I6" s="74" t="s">
        <v>45</v>
      </c>
      <c r="J6" s="74"/>
      <c r="K6" s="75" t="s">
        <v>344</v>
      </c>
      <c r="L6" s="75"/>
    </row>
    <row r="7" customFormat="false" ht="21.75" hidden="false" customHeight="true" outlineLevel="0" collapsed="false">
      <c r="A7" s="76"/>
      <c r="B7" s="76"/>
      <c r="C7" s="77"/>
      <c r="D7" s="77"/>
      <c r="E7" s="78"/>
      <c r="F7" s="78"/>
      <c r="G7" s="79"/>
      <c r="H7" s="79"/>
      <c r="I7" s="80"/>
      <c r="J7" s="80"/>
      <c r="K7" s="81"/>
      <c r="L7" s="81"/>
    </row>
    <row r="9" customFormat="false" ht="21.75" hidden="false" customHeight="true" outlineLevel="0" collapsed="false">
      <c r="A9" s="82" t="s">
        <v>345</v>
      </c>
      <c r="B9" s="82"/>
      <c r="C9" s="82"/>
      <c r="D9" s="82"/>
      <c r="E9" s="82"/>
      <c r="F9" s="82"/>
      <c r="H9" s="82" t="s">
        <v>346</v>
      </c>
      <c r="I9" s="82"/>
      <c r="J9" s="82"/>
      <c r="K9" s="82"/>
      <c r="L9" s="82"/>
      <c r="M9" s="82"/>
      <c r="N9" s="82"/>
    </row>
    <row r="10" customFormat="false" ht="18" hidden="false" customHeight="true" outlineLevel="0" collapsed="false">
      <c r="A10" s="83" t="s">
        <v>2</v>
      </c>
      <c r="B10" s="83" t="s">
        <v>258</v>
      </c>
      <c r="C10" s="83" t="s">
        <v>326</v>
      </c>
      <c r="D10" s="83" t="s">
        <v>347</v>
      </c>
      <c r="H10" s="83" t="s">
        <v>348</v>
      </c>
      <c r="I10" s="83" t="s">
        <v>2</v>
      </c>
      <c r="J10" s="83" t="s">
        <v>258</v>
      </c>
      <c r="K10" s="83" t="s">
        <v>259</v>
      </c>
    </row>
    <row r="11" customFormat="false" ht="15" hidden="false" customHeight="false" outlineLevel="0" collapsed="false">
      <c r="A11" s="84" t="s">
        <v>41</v>
      </c>
      <c r="B11" s="85" t="n">
        <v>15131000</v>
      </c>
      <c r="C11" s="85" t="n">
        <v>5030891</v>
      </c>
      <c r="D11" s="84" t="n">
        <v>1405</v>
      </c>
      <c r="H11" s="84" t="s">
        <v>54</v>
      </c>
      <c r="I11" s="84" t="s">
        <v>41</v>
      </c>
      <c r="J11" s="85" t="n">
        <v>4889000</v>
      </c>
      <c r="K11" s="86" t="n">
        <v>1</v>
      </c>
    </row>
    <row r="12" customFormat="false" ht="15" hidden="false" customHeight="false" outlineLevel="0" collapsed="false">
      <c r="A12" s="87" t="s">
        <v>17</v>
      </c>
      <c r="B12" s="88" t="n">
        <v>12457000</v>
      </c>
      <c r="C12" s="88" t="n">
        <v>4187977</v>
      </c>
      <c r="D12" s="87" t="n">
        <v>1027</v>
      </c>
      <c r="H12" s="87" t="s">
        <v>29</v>
      </c>
      <c r="I12" s="87" t="s">
        <v>30</v>
      </c>
      <c r="J12" s="88" t="n">
        <v>4193000</v>
      </c>
      <c r="K12" s="89" t="n">
        <v>2</v>
      </c>
    </row>
    <row r="13" customFormat="false" ht="15" hidden="false" customHeight="false" outlineLevel="0" collapsed="false">
      <c r="A13" s="84" t="s">
        <v>30</v>
      </c>
      <c r="B13" s="85" t="n">
        <v>14766000</v>
      </c>
      <c r="C13" s="85" t="n">
        <v>5119531</v>
      </c>
      <c r="D13" s="84" t="n">
        <v>1348</v>
      </c>
      <c r="H13" s="84" t="s">
        <v>25</v>
      </c>
      <c r="I13" s="84" t="s">
        <v>30</v>
      </c>
      <c r="J13" s="85" t="n">
        <v>4144000</v>
      </c>
      <c r="K13" s="86" t="n">
        <v>3</v>
      </c>
    </row>
    <row r="14" customFormat="false" ht="15" hidden="false" customHeight="false" outlineLevel="0" collapsed="false">
      <c r="A14" s="87" t="s">
        <v>45</v>
      </c>
      <c r="B14" s="88" t="n">
        <v>19279000</v>
      </c>
      <c r="C14" s="88" t="n">
        <v>6086320</v>
      </c>
      <c r="D14" s="87" t="n">
        <v>1303</v>
      </c>
      <c r="H14" s="87" t="s">
        <v>21</v>
      </c>
      <c r="I14" s="87" t="s">
        <v>30</v>
      </c>
      <c r="J14" s="88" t="n">
        <v>3796000</v>
      </c>
      <c r="K14" s="89" t="n">
        <v>4</v>
      </c>
    </row>
    <row r="15" customFormat="false" ht="15" hidden="false" customHeight="false" outlineLevel="0" collapsed="false">
      <c r="H15" s="84" t="s">
        <v>44</v>
      </c>
      <c r="I15" s="84" t="s">
        <v>41</v>
      </c>
      <c r="J15" s="85" t="n">
        <v>3576000</v>
      </c>
      <c r="K15" s="86" t="n">
        <v>5</v>
      </c>
    </row>
    <row r="17" customFormat="false" ht="21.75" hidden="false" customHeight="true" outlineLevel="0" collapsed="false">
      <c r="A17" s="90" t="s">
        <v>349</v>
      </c>
      <c r="B17" s="90"/>
      <c r="C17" s="90"/>
      <c r="D17" s="90"/>
      <c r="E17" s="90"/>
      <c r="F17" s="90"/>
      <c r="G17" s="90"/>
      <c r="H17" s="90"/>
      <c r="I17" s="90"/>
      <c r="J17" s="90"/>
      <c r="K17" s="90"/>
      <c r="L17" s="90"/>
      <c r="M17" s="90"/>
    </row>
    <row r="18" customFormat="false" ht="18" hidden="false" customHeight="true" outlineLevel="0" collapsed="false">
      <c r="A18" s="91" t="s">
        <v>350</v>
      </c>
      <c r="B18" s="91"/>
      <c r="C18" s="91"/>
      <c r="D18" s="91"/>
      <c r="E18" s="91"/>
      <c r="F18" s="91"/>
      <c r="G18" s="91"/>
      <c r="H18" s="91"/>
      <c r="I18" s="91"/>
      <c r="J18" s="91"/>
      <c r="K18" s="91"/>
      <c r="L18" s="91"/>
      <c r="M18" s="91"/>
    </row>
    <row r="19" customFormat="false" ht="18" hidden="false" customHeight="true" outlineLevel="0" collapsed="false">
      <c r="A19" s="92" t="s">
        <v>351</v>
      </c>
      <c r="B19" s="92"/>
      <c r="C19" s="92"/>
      <c r="D19" s="92"/>
      <c r="E19" s="92"/>
      <c r="F19" s="92"/>
      <c r="G19" s="92"/>
      <c r="H19" s="92"/>
      <c r="I19" s="92"/>
      <c r="J19" s="92"/>
      <c r="K19" s="92"/>
      <c r="L19" s="92"/>
      <c r="M19" s="92"/>
    </row>
    <row r="20" customFormat="false" ht="18" hidden="false" customHeight="true" outlineLevel="0" collapsed="false">
      <c r="A20" s="91" t="s">
        <v>352</v>
      </c>
      <c r="B20" s="91"/>
      <c r="C20" s="91"/>
      <c r="D20" s="91"/>
      <c r="E20" s="91"/>
      <c r="F20" s="91"/>
      <c r="G20" s="91"/>
      <c r="H20" s="91"/>
      <c r="I20" s="91"/>
      <c r="J20" s="91"/>
      <c r="K20" s="91"/>
      <c r="L20" s="91"/>
      <c r="M20" s="91"/>
    </row>
    <row r="21" customFormat="false" ht="18" hidden="false" customHeight="true" outlineLevel="0" collapsed="false">
      <c r="A21" s="92" t="s">
        <v>353</v>
      </c>
      <c r="B21" s="92"/>
      <c r="C21" s="92"/>
      <c r="D21" s="92"/>
      <c r="E21" s="92"/>
      <c r="F21" s="92"/>
      <c r="G21" s="92"/>
      <c r="H21" s="92"/>
      <c r="I21" s="92"/>
      <c r="J21" s="92"/>
      <c r="K21" s="92"/>
      <c r="L21" s="92"/>
      <c r="M21" s="92"/>
    </row>
    <row r="22" customFormat="false" ht="18" hidden="false" customHeight="true" outlineLevel="0" collapsed="false">
      <c r="A22" s="91" t="s">
        <v>354</v>
      </c>
      <c r="B22" s="91"/>
      <c r="C22" s="91"/>
      <c r="D22" s="91"/>
      <c r="E22" s="91"/>
      <c r="F22" s="91"/>
      <c r="G22" s="91"/>
      <c r="H22" s="91"/>
      <c r="I22" s="91"/>
      <c r="J22" s="91"/>
      <c r="K22" s="91"/>
      <c r="L22" s="91"/>
      <c r="M22" s="91"/>
    </row>
    <row r="23" customFormat="false" ht="18" hidden="false" customHeight="true" outlineLevel="0" collapsed="false">
      <c r="A23" s="92" t="s">
        <v>355</v>
      </c>
      <c r="B23" s="92"/>
      <c r="C23" s="92"/>
      <c r="D23" s="92"/>
      <c r="E23" s="92"/>
      <c r="F23" s="92"/>
      <c r="G23" s="92"/>
      <c r="H23" s="92"/>
      <c r="I23" s="92"/>
      <c r="J23" s="92"/>
      <c r="K23" s="92"/>
      <c r="L23" s="92"/>
      <c r="M23" s="92"/>
    </row>
  </sheetData>
  <mergeCells count="28">
    <mergeCell ref="A1:N3"/>
    <mergeCell ref="A5:B5"/>
    <mergeCell ref="C5:D5"/>
    <mergeCell ref="E5:F5"/>
    <mergeCell ref="G5:H5"/>
    <mergeCell ref="I5:J5"/>
    <mergeCell ref="K5:L5"/>
    <mergeCell ref="A6:B6"/>
    <mergeCell ref="C6:D6"/>
    <mergeCell ref="E6:F6"/>
    <mergeCell ref="G6:H6"/>
    <mergeCell ref="I6:J6"/>
    <mergeCell ref="K6:L6"/>
    <mergeCell ref="A7:B7"/>
    <mergeCell ref="C7:D7"/>
    <mergeCell ref="E7:F7"/>
    <mergeCell ref="G7:H7"/>
    <mergeCell ref="I7:J7"/>
    <mergeCell ref="K7:L7"/>
    <mergeCell ref="A9:F9"/>
    <mergeCell ref="H9:N9"/>
    <mergeCell ref="A17:M17"/>
    <mergeCell ref="A18:M18"/>
    <mergeCell ref="A19:M19"/>
    <mergeCell ref="A20:M20"/>
    <mergeCell ref="A21:M21"/>
    <mergeCell ref="A22:M22"/>
    <mergeCell ref="A23:M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2026-06-19T04:30:07Z</dcterms:created>
  <dc:creator>openpyxl</dc:creator>
  <dc:description/>
  <dc:language>en-US</dc:language>
  <cp:lastModifiedBy/>
  <dcterms:modified xsi:type="dcterms:W3CDTF">2026-06-19T04:30:15Z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